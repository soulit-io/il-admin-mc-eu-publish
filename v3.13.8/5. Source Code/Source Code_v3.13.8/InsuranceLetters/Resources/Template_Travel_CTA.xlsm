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na\Downloads\"/>
    </mc:Choice>
  </mc:AlternateContent>
  <xr:revisionPtr revIDLastSave="0" documentId="13_ncr:1_{39E7B85C-171F-47F1-B4E4-5789A114827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formação" sheetId="1" r:id="rId1"/>
    <sheet name="Validacion" sheetId="2" state="hidden" r:id="rId2"/>
    <sheet name="data" sheetId="3" state="hidden" r:id="rId3"/>
  </sheets>
  <functionGroups builtInGroupCount="19"/>
  <definedNames>
    <definedName name="INTERNACIONAL">Validacion!$H$4:$H$196</definedName>
    <definedName name="NACIONAL">Validacion!$H$197:$H$223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G3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Q13" i="1" l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R112" i="1" l="1"/>
  <c r="Q112" i="1"/>
  <c r="R111" i="1"/>
  <c r="Q111" i="1"/>
  <c r="E100" i="3" s="1"/>
  <c r="R110" i="1"/>
  <c r="Q110" i="1"/>
  <c r="E99" i="3" s="1"/>
  <c r="R109" i="1"/>
  <c r="Q109" i="1"/>
  <c r="E98" i="3" s="1"/>
  <c r="R108" i="1"/>
  <c r="Q108" i="1"/>
  <c r="E97" i="3" s="1"/>
  <c r="R107" i="1"/>
  <c r="Q107" i="1"/>
  <c r="E96" i="3" s="1"/>
  <c r="R106" i="1"/>
  <c r="Q106" i="1"/>
  <c r="E95" i="3" s="1"/>
  <c r="R105" i="1"/>
  <c r="Q105" i="1"/>
  <c r="E94" i="3" s="1"/>
  <c r="R104" i="1"/>
  <c r="Q104" i="1"/>
  <c r="E93" i="3" s="1"/>
  <c r="R103" i="1"/>
  <c r="Q103" i="1"/>
  <c r="E92" i="3" s="1"/>
  <c r="R102" i="1"/>
  <c r="Q102" i="1"/>
  <c r="E91" i="3" s="1"/>
  <c r="R101" i="1"/>
  <c r="Q101" i="1"/>
  <c r="E90" i="3" s="1"/>
  <c r="R100" i="1"/>
  <c r="Q100" i="1"/>
  <c r="E89" i="3" s="1"/>
  <c r="R99" i="1"/>
  <c r="Q99" i="1"/>
  <c r="E88" i="3" s="1"/>
  <c r="R98" i="1"/>
  <c r="Q98" i="1"/>
  <c r="E87" i="3" s="1"/>
  <c r="R97" i="1"/>
  <c r="Q97" i="1"/>
  <c r="E86" i="3" s="1"/>
  <c r="R96" i="1"/>
  <c r="Q96" i="1"/>
  <c r="E85" i="3" s="1"/>
  <c r="R95" i="1"/>
  <c r="Q95" i="1"/>
  <c r="E84" i="3" s="1"/>
  <c r="R94" i="1"/>
  <c r="Q94" i="1"/>
  <c r="E83" i="3" s="1"/>
  <c r="R93" i="1"/>
  <c r="Q93" i="1"/>
  <c r="E82" i="3" s="1"/>
  <c r="R92" i="1"/>
  <c r="Q92" i="1"/>
  <c r="E81" i="3" s="1"/>
  <c r="R91" i="1"/>
  <c r="Q91" i="1"/>
  <c r="E80" i="3" s="1"/>
  <c r="R90" i="1"/>
  <c r="Q90" i="1"/>
  <c r="E79" i="3" s="1"/>
  <c r="R89" i="1"/>
  <c r="Q89" i="1"/>
  <c r="E78" i="3" s="1"/>
  <c r="R88" i="1"/>
  <c r="Q88" i="1"/>
  <c r="E77" i="3" s="1"/>
  <c r="R87" i="1"/>
  <c r="Q87" i="1"/>
  <c r="E76" i="3" s="1"/>
  <c r="R86" i="1"/>
  <c r="Q86" i="1"/>
  <c r="E75" i="3" s="1"/>
  <c r="R85" i="1"/>
  <c r="Q85" i="1"/>
  <c r="E74" i="3" s="1"/>
  <c r="R84" i="1"/>
  <c r="Q84" i="1"/>
  <c r="E73" i="3" s="1"/>
  <c r="R83" i="1"/>
  <c r="Q83" i="1"/>
  <c r="E72" i="3" s="1"/>
  <c r="R82" i="1"/>
  <c r="Q82" i="1"/>
  <c r="E71" i="3" s="1"/>
  <c r="R81" i="1"/>
  <c r="Q81" i="1"/>
  <c r="E70" i="3" s="1"/>
  <c r="R80" i="1"/>
  <c r="Q80" i="1"/>
  <c r="E69" i="3" s="1"/>
  <c r="R79" i="1"/>
  <c r="Q79" i="1"/>
  <c r="E68" i="3" s="1"/>
  <c r="R78" i="1"/>
  <c r="Q78" i="1"/>
  <c r="E67" i="3" s="1"/>
  <c r="R77" i="1"/>
  <c r="Q77" i="1"/>
  <c r="E66" i="3" s="1"/>
  <c r="R76" i="1"/>
  <c r="Q76" i="1"/>
  <c r="E65" i="3" s="1"/>
  <c r="R75" i="1"/>
  <c r="Q75" i="1"/>
  <c r="E64" i="3" s="1"/>
  <c r="R74" i="1"/>
  <c r="Q74" i="1"/>
  <c r="E63" i="3" s="1"/>
  <c r="R73" i="1"/>
  <c r="Q73" i="1"/>
  <c r="E62" i="3" s="1"/>
  <c r="R72" i="1"/>
  <c r="Q72" i="1"/>
  <c r="E61" i="3" s="1"/>
  <c r="R71" i="1"/>
  <c r="Q71" i="1"/>
  <c r="E60" i="3" s="1"/>
  <c r="R70" i="1"/>
  <c r="Q70" i="1"/>
  <c r="E59" i="3" s="1"/>
  <c r="R69" i="1"/>
  <c r="Q69" i="1"/>
  <c r="E58" i="3" s="1"/>
  <c r="R68" i="1"/>
  <c r="Q68" i="1"/>
  <c r="E57" i="3" s="1"/>
  <c r="R67" i="1"/>
  <c r="Q67" i="1"/>
  <c r="E56" i="3" s="1"/>
  <c r="R66" i="1"/>
  <c r="Q66" i="1"/>
  <c r="E55" i="3" s="1"/>
  <c r="R65" i="1"/>
  <c r="Q65" i="1"/>
  <c r="E54" i="3" s="1"/>
  <c r="R64" i="1"/>
  <c r="Q64" i="1"/>
  <c r="E53" i="3" s="1"/>
  <c r="R63" i="1"/>
  <c r="Q63" i="1"/>
  <c r="E52" i="3" s="1"/>
  <c r="R62" i="1"/>
  <c r="Q62" i="1"/>
  <c r="E51" i="3" s="1"/>
  <c r="R61" i="1"/>
  <c r="Q61" i="1"/>
  <c r="E50" i="3" s="1"/>
  <c r="R60" i="1"/>
  <c r="Q60" i="1"/>
  <c r="E49" i="3" s="1"/>
  <c r="R59" i="1"/>
  <c r="Q59" i="1"/>
  <c r="E48" i="3" s="1"/>
  <c r="R58" i="1"/>
  <c r="Q58" i="1"/>
  <c r="E47" i="3" s="1"/>
  <c r="R57" i="1"/>
  <c r="Q57" i="1"/>
  <c r="E46" i="3" s="1"/>
  <c r="R56" i="1"/>
  <c r="Q56" i="1"/>
  <c r="E45" i="3" s="1"/>
  <c r="R55" i="1"/>
  <c r="Q55" i="1"/>
  <c r="E44" i="3" s="1"/>
  <c r="R54" i="1"/>
  <c r="Q54" i="1"/>
  <c r="E43" i="3" s="1"/>
  <c r="R53" i="1"/>
  <c r="Q53" i="1"/>
  <c r="E42" i="3" s="1"/>
  <c r="R52" i="1"/>
  <c r="Q52" i="1"/>
  <c r="E41" i="3" s="1"/>
  <c r="R51" i="1"/>
  <c r="Q51" i="1"/>
  <c r="E40" i="3" s="1"/>
  <c r="R50" i="1"/>
  <c r="Q50" i="1"/>
  <c r="E39" i="3" s="1"/>
  <c r="R49" i="1"/>
  <c r="Q49" i="1"/>
  <c r="E38" i="3" s="1"/>
  <c r="R48" i="1"/>
  <c r="Q48" i="1"/>
  <c r="E37" i="3" s="1"/>
  <c r="R47" i="1"/>
  <c r="Q47" i="1"/>
  <c r="E36" i="3" s="1"/>
  <c r="R46" i="1"/>
  <c r="Q46" i="1"/>
  <c r="E35" i="3" s="1"/>
  <c r="R45" i="1"/>
  <c r="Q45" i="1"/>
  <c r="E34" i="3" s="1"/>
  <c r="R44" i="1"/>
  <c r="Q44" i="1"/>
  <c r="E33" i="3" s="1"/>
  <c r="R43" i="1"/>
  <c r="Q43" i="1"/>
  <c r="E32" i="3" s="1"/>
  <c r="R42" i="1"/>
  <c r="Q42" i="1"/>
  <c r="E31" i="3" s="1"/>
  <c r="R41" i="1"/>
  <c r="Q41" i="1"/>
  <c r="E30" i="3" s="1"/>
  <c r="R40" i="1"/>
  <c r="Q40" i="1"/>
  <c r="E29" i="3" s="1"/>
  <c r="E28" i="3"/>
  <c r="E27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R101" i="3"/>
  <c r="O101" i="3"/>
  <c r="N101" i="3"/>
  <c r="L101" i="3"/>
  <c r="K101" i="3"/>
  <c r="J101" i="3"/>
  <c r="I101" i="3"/>
  <c r="H101" i="3"/>
  <c r="E101" i="3"/>
  <c r="D101" i="3"/>
  <c r="C101" i="3"/>
  <c r="R100" i="3"/>
  <c r="O100" i="3"/>
  <c r="N100" i="3"/>
  <c r="L100" i="3"/>
  <c r="K100" i="3"/>
  <c r="J100" i="3"/>
  <c r="I100" i="3"/>
  <c r="H100" i="3"/>
  <c r="D100" i="3"/>
  <c r="C100" i="3"/>
  <c r="R99" i="3"/>
  <c r="O99" i="3"/>
  <c r="N99" i="3"/>
  <c r="L99" i="3"/>
  <c r="K99" i="3"/>
  <c r="J99" i="3"/>
  <c r="I99" i="3"/>
  <c r="H99" i="3"/>
  <c r="D99" i="3"/>
  <c r="C99" i="3"/>
  <c r="R98" i="3"/>
  <c r="O98" i="3"/>
  <c r="N98" i="3"/>
  <c r="L98" i="3"/>
  <c r="K98" i="3"/>
  <c r="J98" i="3"/>
  <c r="I98" i="3"/>
  <c r="H98" i="3"/>
  <c r="D98" i="3"/>
  <c r="C98" i="3"/>
  <c r="R97" i="3"/>
  <c r="O97" i="3"/>
  <c r="N97" i="3"/>
  <c r="L97" i="3"/>
  <c r="K97" i="3"/>
  <c r="J97" i="3"/>
  <c r="I97" i="3"/>
  <c r="H97" i="3"/>
  <c r="D97" i="3"/>
  <c r="C97" i="3"/>
  <c r="R96" i="3"/>
  <c r="O96" i="3"/>
  <c r="N96" i="3"/>
  <c r="L96" i="3"/>
  <c r="K96" i="3"/>
  <c r="J96" i="3"/>
  <c r="I96" i="3"/>
  <c r="H96" i="3"/>
  <c r="D96" i="3"/>
  <c r="C96" i="3"/>
  <c r="R95" i="3"/>
  <c r="O95" i="3"/>
  <c r="N95" i="3"/>
  <c r="L95" i="3"/>
  <c r="K95" i="3"/>
  <c r="J95" i="3"/>
  <c r="I95" i="3"/>
  <c r="H95" i="3"/>
  <c r="D95" i="3"/>
  <c r="C95" i="3"/>
  <c r="R94" i="3"/>
  <c r="O94" i="3"/>
  <c r="N94" i="3"/>
  <c r="L94" i="3"/>
  <c r="K94" i="3"/>
  <c r="J94" i="3"/>
  <c r="I94" i="3"/>
  <c r="H94" i="3"/>
  <c r="D94" i="3"/>
  <c r="C94" i="3"/>
  <c r="R93" i="3"/>
  <c r="O93" i="3"/>
  <c r="N93" i="3"/>
  <c r="L93" i="3"/>
  <c r="K93" i="3"/>
  <c r="J93" i="3"/>
  <c r="I93" i="3"/>
  <c r="H93" i="3"/>
  <c r="D93" i="3"/>
  <c r="C93" i="3"/>
  <c r="R92" i="3"/>
  <c r="O92" i="3"/>
  <c r="N92" i="3"/>
  <c r="L92" i="3"/>
  <c r="K92" i="3"/>
  <c r="J92" i="3"/>
  <c r="I92" i="3"/>
  <c r="H92" i="3"/>
  <c r="D92" i="3"/>
  <c r="C92" i="3"/>
  <c r="R91" i="3"/>
  <c r="O91" i="3"/>
  <c r="N91" i="3"/>
  <c r="L91" i="3"/>
  <c r="K91" i="3"/>
  <c r="J91" i="3"/>
  <c r="I91" i="3"/>
  <c r="H91" i="3"/>
  <c r="D91" i="3"/>
  <c r="C91" i="3"/>
  <c r="R90" i="3"/>
  <c r="O90" i="3"/>
  <c r="N90" i="3"/>
  <c r="L90" i="3"/>
  <c r="K90" i="3"/>
  <c r="J90" i="3"/>
  <c r="I90" i="3"/>
  <c r="H90" i="3"/>
  <c r="D90" i="3"/>
  <c r="C90" i="3"/>
  <c r="R89" i="3"/>
  <c r="O89" i="3"/>
  <c r="N89" i="3"/>
  <c r="L89" i="3"/>
  <c r="K89" i="3"/>
  <c r="J89" i="3"/>
  <c r="I89" i="3"/>
  <c r="H89" i="3"/>
  <c r="D89" i="3"/>
  <c r="C89" i="3"/>
  <c r="R88" i="3"/>
  <c r="O88" i="3"/>
  <c r="N88" i="3"/>
  <c r="L88" i="3"/>
  <c r="K88" i="3"/>
  <c r="J88" i="3"/>
  <c r="I88" i="3"/>
  <c r="H88" i="3"/>
  <c r="D88" i="3"/>
  <c r="C88" i="3"/>
  <c r="R87" i="3"/>
  <c r="O87" i="3"/>
  <c r="N87" i="3"/>
  <c r="L87" i="3"/>
  <c r="K87" i="3"/>
  <c r="J87" i="3"/>
  <c r="I87" i="3"/>
  <c r="H87" i="3"/>
  <c r="D87" i="3"/>
  <c r="C87" i="3"/>
  <c r="R86" i="3"/>
  <c r="O86" i="3"/>
  <c r="N86" i="3"/>
  <c r="L86" i="3"/>
  <c r="K86" i="3"/>
  <c r="J86" i="3"/>
  <c r="I86" i="3"/>
  <c r="H86" i="3"/>
  <c r="D86" i="3"/>
  <c r="C86" i="3"/>
  <c r="R85" i="3"/>
  <c r="O85" i="3"/>
  <c r="N85" i="3"/>
  <c r="L85" i="3"/>
  <c r="K85" i="3"/>
  <c r="J85" i="3"/>
  <c r="I85" i="3"/>
  <c r="H85" i="3"/>
  <c r="D85" i="3"/>
  <c r="C85" i="3"/>
  <c r="R84" i="3"/>
  <c r="O84" i="3"/>
  <c r="N84" i="3"/>
  <c r="L84" i="3"/>
  <c r="K84" i="3"/>
  <c r="J84" i="3"/>
  <c r="I84" i="3"/>
  <c r="H84" i="3"/>
  <c r="D84" i="3"/>
  <c r="C84" i="3"/>
  <c r="R83" i="3"/>
  <c r="O83" i="3"/>
  <c r="N83" i="3"/>
  <c r="L83" i="3"/>
  <c r="K83" i="3"/>
  <c r="J83" i="3"/>
  <c r="I83" i="3"/>
  <c r="H83" i="3"/>
  <c r="D83" i="3"/>
  <c r="C83" i="3"/>
  <c r="R82" i="3"/>
  <c r="O82" i="3"/>
  <c r="N82" i="3"/>
  <c r="L82" i="3"/>
  <c r="K82" i="3"/>
  <c r="J82" i="3"/>
  <c r="I82" i="3"/>
  <c r="H82" i="3"/>
  <c r="D82" i="3"/>
  <c r="C82" i="3"/>
  <c r="R81" i="3"/>
  <c r="O81" i="3"/>
  <c r="N81" i="3"/>
  <c r="L81" i="3"/>
  <c r="K81" i="3"/>
  <c r="J81" i="3"/>
  <c r="I81" i="3"/>
  <c r="H81" i="3"/>
  <c r="D81" i="3"/>
  <c r="C81" i="3"/>
  <c r="R80" i="3"/>
  <c r="O80" i="3"/>
  <c r="N80" i="3"/>
  <c r="L80" i="3"/>
  <c r="K80" i="3"/>
  <c r="J80" i="3"/>
  <c r="I80" i="3"/>
  <c r="H80" i="3"/>
  <c r="D80" i="3"/>
  <c r="C80" i="3"/>
  <c r="R79" i="3"/>
  <c r="O79" i="3"/>
  <c r="N79" i="3"/>
  <c r="L79" i="3"/>
  <c r="K79" i="3"/>
  <c r="J79" i="3"/>
  <c r="I79" i="3"/>
  <c r="H79" i="3"/>
  <c r="D79" i="3"/>
  <c r="C79" i="3"/>
  <c r="R78" i="3"/>
  <c r="O78" i="3"/>
  <c r="N78" i="3"/>
  <c r="L78" i="3"/>
  <c r="K78" i="3"/>
  <c r="J78" i="3"/>
  <c r="I78" i="3"/>
  <c r="H78" i="3"/>
  <c r="D78" i="3"/>
  <c r="C78" i="3"/>
  <c r="R77" i="3"/>
  <c r="O77" i="3"/>
  <c r="N77" i="3"/>
  <c r="L77" i="3"/>
  <c r="K77" i="3"/>
  <c r="J77" i="3"/>
  <c r="I77" i="3"/>
  <c r="H77" i="3"/>
  <c r="D77" i="3"/>
  <c r="C77" i="3"/>
  <c r="R76" i="3"/>
  <c r="O76" i="3"/>
  <c r="N76" i="3"/>
  <c r="L76" i="3"/>
  <c r="K76" i="3"/>
  <c r="J76" i="3"/>
  <c r="I76" i="3"/>
  <c r="H76" i="3"/>
  <c r="D76" i="3"/>
  <c r="C76" i="3"/>
  <c r="R75" i="3"/>
  <c r="O75" i="3"/>
  <c r="N75" i="3"/>
  <c r="L75" i="3"/>
  <c r="K75" i="3"/>
  <c r="J75" i="3"/>
  <c r="I75" i="3"/>
  <c r="H75" i="3"/>
  <c r="D75" i="3"/>
  <c r="C75" i="3"/>
  <c r="R74" i="3"/>
  <c r="O74" i="3"/>
  <c r="N74" i="3"/>
  <c r="L74" i="3"/>
  <c r="K74" i="3"/>
  <c r="J74" i="3"/>
  <c r="I74" i="3"/>
  <c r="H74" i="3"/>
  <c r="D74" i="3"/>
  <c r="C74" i="3"/>
  <c r="R73" i="3"/>
  <c r="O73" i="3"/>
  <c r="N73" i="3"/>
  <c r="L73" i="3"/>
  <c r="K73" i="3"/>
  <c r="J73" i="3"/>
  <c r="I73" i="3"/>
  <c r="H73" i="3"/>
  <c r="D73" i="3"/>
  <c r="C73" i="3"/>
  <c r="R72" i="3"/>
  <c r="O72" i="3"/>
  <c r="N72" i="3"/>
  <c r="L72" i="3"/>
  <c r="K72" i="3"/>
  <c r="J72" i="3"/>
  <c r="I72" i="3"/>
  <c r="H72" i="3"/>
  <c r="D72" i="3"/>
  <c r="C72" i="3"/>
  <c r="R71" i="3"/>
  <c r="O71" i="3"/>
  <c r="N71" i="3"/>
  <c r="L71" i="3"/>
  <c r="K71" i="3"/>
  <c r="J71" i="3"/>
  <c r="I71" i="3"/>
  <c r="H71" i="3"/>
  <c r="D71" i="3"/>
  <c r="C71" i="3"/>
  <c r="R70" i="3"/>
  <c r="O70" i="3"/>
  <c r="N70" i="3"/>
  <c r="L70" i="3"/>
  <c r="K70" i="3"/>
  <c r="J70" i="3"/>
  <c r="I70" i="3"/>
  <c r="H70" i="3"/>
  <c r="D70" i="3"/>
  <c r="C70" i="3"/>
  <c r="R69" i="3"/>
  <c r="O69" i="3"/>
  <c r="N69" i="3"/>
  <c r="L69" i="3"/>
  <c r="K69" i="3"/>
  <c r="J69" i="3"/>
  <c r="I69" i="3"/>
  <c r="H69" i="3"/>
  <c r="D69" i="3"/>
  <c r="C69" i="3"/>
  <c r="R68" i="3"/>
  <c r="O68" i="3"/>
  <c r="N68" i="3"/>
  <c r="L68" i="3"/>
  <c r="K68" i="3"/>
  <c r="J68" i="3"/>
  <c r="I68" i="3"/>
  <c r="H68" i="3"/>
  <c r="D68" i="3"/>
  <c r="C68" i="3"/>
  <c r="R67" i="3"/>
  <c r="O67" i="3"/>
  <c r="N67" i="3"/>
  <c r="L67" i="3"/>
  <c r="K67" i="3"/>
  <c r="J67" i="3"/>
  <c r="I67" i="3"/>
  <c r="H67" i="3"/>
  <c r="D67" i="3"/>
  <c r="C67" i="3"/>
  <c r="R66" i="3"/>
  <c r="O66" i="3"/>
  <c r="N66" i="3"/>
  <c r="L66" i="3"/>
  <c r="K66" i="3"/>
  <c r="J66" i="3"/>
  <c r="I66" i="3"/>
  <c r="H66" i="3"/>
  <c r="D66" i="3"/>
  <c r="C66" i="3"/>
  <c r="R65" i="3"/>
  <c r="O65" i="3"/>
  <c r="N65" i="3"/>
  <c r="L65" i="3"/>
  <c r="K65" i="3"/>
  <c r="J65" i="3"/>
  <c r="I65" i="3"/>
  <c r="H65" i="3"/>
  <c r="D65" i="3"/>
  <c r="C65" i="3"/>
  <c r="R64" i="3"/>
  <c r="O64" i="3"/>
  <c r="N64" i="3"/>
  <c r="L64" i="3"/>
  <c r="K64" i="3"/>
  <c r="J64" i="3"/>
  <c r="I64" i="3"/>
  <c r="H64" i="3"/>
  <c r="D64" i="3"/>
  <c r="C64" i="3"/>
  <c r="R63" i="3"/>
  <c r="O63" i="3"/>
  <c r="N63" i="3"/>
  <c r="L63" i="3"/>
  <c r="K63" i="3"/>
  <c r="J63" i="3"/>
  <c r="I63" i="3"/>
  <c r="H63" i="3"/>
  <c r="D63" i="3"/>
  <c r="C63" i="3"/>
  <c r="R62" i="3"/>
  <c r="O62" i="3"/>
  <c r="N62" i="3"/>
  <c r="L62" i="3"/>
  <c r="K62" i="3"/>
  <c r="J62" i="3"/>
  <c r="I62" i="3"/>
  <c r="H62" i="3"/>
  <c r="D62" i="3"/>
  <c r="C62" i="3"/>
  <c r="R61" i="3"/>
  <c r="O61" i="3"/>
  <c r="N61" i="3"/>
  <c r="L61" i="3"/>
  <c r="K61" i="3"/>
  <c r="J61" i="3"/>
  <c r="I61" i="3"/>
  <c r="H61" i="3"/>
  <c r="D61" i="3"/>
  <c r="C61" i="3"/>
  <c r="R60" i="3"/>
  <c r="O60" i="3"/>
  <c r="N60" i="3"/>
  <c r="L60" i="3"/>
  <c r="K60" i="3"/>
  <c r="J60" i="3"/>
  <c r="I60" i="3"/>
  <c r="H60" i="3"/>
  <c r="D60" i="3"/>
  <c r="C60" i="3"/>
  <c r="R59" i="3"/>
  <c r="O59" i="3"/>
  <c r="N59" i="3"/>
  <c r="L59" i="3"/>
  <c r="K59" i="3"/>
  <c r="J59" i="3"/>
  <c r="I59" i="3"/>
  <c r="H59" i="3"/>
  <c r="D59" i="3"/>
  <c r="C59" i="3"/>
  <c r="R58" i="3"/>
  <c r="O58" i="3"/>
  <c r="N58" i="3"/>
  <c r="L58" i="3"/>
  <c r="K58" i="3"/>
  <c r="J58" i="3"/>
  <c r="I58" i="3"/>
  <c r="H58" i="3"/>
  <c r="D58" i="3"/>
  <c r="C58" i="3"/>
  <c r="R57" i="3"/>
  <c r="O57" i="3"/>
  <c r="N57" i="3"/>
  <c r="L57" i="3"/>
  <c r="K57" i="3"/>
  <c r="J57" i="3"/>
  <c r="I57" i="3"/>
  <c r="H57" i="3"/>
  <c r="D57" i="3"/>
  <c r="C57" i="3"/>
  <c r="R56" i="3"/>
  <c r="O56" i="3"/>
  <c r="N56" i="3"/>
  <c r="L56" i="3"/>
  <c r="K56" i="3"/>
  <c r="J56" i="3"/>
  <c r="I56" i="3"/>
  <c r="H56" i="3"/>
  <c r="D56" i="3"/>
  <c r="C56" i="3"/>
  <c r="R55" i="3"/>
  <c r="O55" i="3"/>
  <c r="N55" i="3"/>
  <c r="L55" i="3"/>
  <c r="K55" i="3"/>
  <c r="J55" i="3"/>
  <c r="I55" i="3"/>
  <c r="H55" i="3"/>
  <c r="D55" i="3"/>
  <c r="C55" i="3"/>
  <c r="R54" i="3"/>
  <c r="O54" i="3"/>
  <c r="N54" i="3"/>
  <c r="L54" i="3"/>
  <c r="K54" i="3"/>
  <c r="J54" i="3"/>
  <c r="I54" i="3"/>
  <c r="H54" i="3"/>
  <c r="D54" i="3"/>
  <c r="C54" i="3"/>
  <c r="R53" i="3"/>
  <c r="O53" i="3"/>
  <c r="N53" i="3"/>
  <c r="L53" i="3"/>
  <c r="K53" i="3"/>
  <c r="J53" i="3"/>
  <c r="I53" i="3"/>
  <c r="H53" i="3"/>
  <c r="D53" i="3"/>
  <c r="C53" i="3"/>
  <c r="R52" i="3"/>
  <c r="O52" i="3"/>
  <c r="N52" i="3"/>
  <c r="L52" i="3"/>
  <c r="K52" i="3"/>
  <c r="J52" i="3"/>
  <c r="I52" i="3"/>
  <c r="H52" i="3"/>
  <c r="D52" i="3"/>
  <c r="C52" i="3"/>
  <c r="R51" i="3"/>
  <c r="O51" i="3"/>
  <c r="N51" i="3"/>
  <c r="L51" i="3"/>
  <c r="K51" i="3"/>
  <c r="J51" i="3"/>
  <c r="I51" i="3"/>
  <c r="H51" i="3"/>
  <c r="D51" i="3"/>
  <c r="C51" i="3"/>
  <c r="R50" i="3"/>
  <c r="O50" i="3"/>
  <c r="N50" i="3"/>
  <c r="L50" i="3"/>
  <c r="K50" i="3"/>
  <c r="J50" i="3"/>
  <c r="I50" i="3"/>
  <c r="H50" i="3"/>
  <c r="D50" i="3"/>
  <c r="C50" i="3"/>
  <c r="R49" i="3"/>
  <c r="O49" i="3"/>
  <c r="N49" i="3"/>
  <c r="L49" i="3"/>
  <c r="K49" i="3"/>
  <c r="J49" i="3"/>
  <c r="I49" i="3"/>
  <c r="H49" i="3"/>
  <c r="D49" i="3"/>
  <c r="C49" i="3"/>
  <c r="R48" i="3"/>
  <c r="O48" i="3"/>
  <c r="N48" i="3"/>
  <c r="L48" i="3"/>
  <c r="K48" i="3"/>
  <c r="J48" i="3"/>
  <c r="I48" i="3"/>
  <c r="H48" i="3"/>
  <c r="D48" i="3"/>
  <c r="C48" i="3"/>
  <c r="R47" i="3"/>
  <c r="O47" i="3"/>
  <c r="N47" i="3"/>
  <c r="L47" i="3"/>
  <c r="K47" i="3"/>
  <c r="J47" i="3"/>
  <c r="I47" i="3"/>
  <c r="H47" i="3"/>
  <c r="D47" i="3"/>
  <c r="C47" i="3"/>
  <c r="R46" i="3"/>
  <c r="O46" i="3"/>
  <c r="N46" i="3"/>
  <c r="L46" i="3"/>
  <c r="K46" i="3"/>
  <c r="J46" i="3"/>
  <c r="I46" i="3"/>
  <c r="H46" i="3"/>
  <c r="D46" i="3"/>
  <c r="C46" i="3"/>
  <c r="R45" i="3"/>
  <c r="O45" i="3"/>
  <c r="N45" i="3"/>
  <c r="L45" i="3"/>
  <c r="K45" i="3"/>
  <c r="J45" i="3"/>
  <c r="I45" i="3"/>
  <c r="H45" i="3"/>
  <c r="D45" i="3"/>
  <c r="C45" i="3"/>
  <c r="R44" i="3"/>
  <c r="O44" i="3"/>
  <c r="N44" i="3"/>
  <c r="L44" i="3"/>
  <c r="K44" i="3"/>
  <c r="J44" i="3"/>
  <c r="I44" i="3"/>
  <c r="H44" i="3"/>
  <c r="D44" i="3"/>
  <c r="C44" i="3"/>
  <c r="R43" i="3"/>
  <c r="O43" i="3"/>
  <c r="N43" i="3"/>
  <c r="L43" i="3"/>
  <c r="K43" i="3"/>
  <c r="J43" i="3"/>
  <c r="I43" i="3"/>
  <c r="H43" i="3"/>
  <c r="D43" i="3"/>
  <c r="C43" i="3"/>
  <c r="R42" i="3"/>
  <c r="O42" i="3"/>
  <c r="N42" i="3"/>
  <c r="L42" i="3"/>
  <c r="K42" i="3"/>
  <c r="J42" i="3"/>
  <c r="I42" i="3"/>
  <c r="H42" i="3"/>
  <c r="D42" i="3"/>
  <c r="C42" i="3"/>
  <c r="R41" i="3"/>
  <c r="O41" i="3"/>
  <c r="N41" i="3"/>
  <c r="L41" i="3"/>
  <c r="K41" i="3"/>
  <c r="J41" i="3"/>
  <c r="I41" i="3"/>
  <c r="H41" i="3"/>
  <c r="D41" i="3"/>
  <c r="C41" i="3"/>
  <c r="R40" i="3"/>
  <c r="O40" i="3"/>
  <c r="N40" i="3"/>
  <c r="L40" i="3"/>
  <c r="K40" i="3"/>
  <c r="J40" i="3"/>
  <c r="I40" i="3"/>
  <c r="H40" i="3"/>
  <c r="D40" i="3"/>
  <c r="C40" i="3"/>
  <c r="R39" i="3"/>
  <c r="O39" i="3"/>
  <c r="N39" i="3"/>
  <c r="L39" i="3"/>
  <c r="K39" i="3"/>
  <c r="J39" i="3"/>
  <c r="I39" i="3"/>
  <c r="H39" i="3"/>
  <c r="D39" i="3"/>
  <c r="C39" i="3"/>
  <c r="R38" i="3"/>
  <c r="O38" i="3"/>
  <c r="N38" i="3"/>
  <c r="L38" i="3"/>
  <c r="K38" i="3"/>
  <c r="J38" i="3"/>
  <c r="I38" i="3"/>
  <c r="H38" i="3"/>
  <c r="D38" i="3"/>
  <c r="C38" i="3"/>
  <c r="R37" i="3"/>
  <c r="O37" i="3"/>
  <c r="N37" i="3"/>
  <c r="L37" i="3"/>
  <c r="K37" i="3"/>
  <c r="J37" i="3"/>
  <c r="I37" i="3"/>
  <c r="H37" i="3"/>
  <c r="D37" i="3"/>
  <c r="C37" i="3"/>
  <c r="R36" i="3"/>
  <c r="O36" i="3"/>
  <c r="N36" i="3"/>
  <c r="L36" i="3"/>
  <c r="K36" i="3"/>
  <c r="J36" i="3"/>
  <c r="I36" i="3"/>
  <c r="H36" i="3"/>
  <c r="D36" i="3"/>
  <c r="C36" i="3"/>
  <c r="R35" i="3"/>
  <c r="O35" i="3"/>
  <c r="N35" i="3"/>
  <c r="L35" i="3"/>
  <c r="K35" i="3"/>
  <c r="J35" i="3"/>
  <c r="I35" i="3"/>
  <c r="H35" i="3"/>
  <c r="D35" i="3"/>
  <c r="C35" i="3"/>
  <c r="R34" i="3"/>
  <c r="O34" i="3"/>
  <c r="N34" i="3"/>
  <c r="L34" i="3"/>
  <c r="K34" i="3"/>
  <c r="J34" i="3"/>
  <c r="I34" i="3"/>
  <c r="H34" i="3"/>
  <c r="D34" i="3"/>
  <c r="C34" i="3"/>
  <c r="R33" i="3"/>
  <c r="O33" i="3"/>
  <c r="N33" i="3"/>
  <c r="L33" i="3"/>
  <c r="K33" i="3"/>
  <c r="J33" i="3"/>
  <c r="I33" i="3"/>
  <c r="H33" i="3"/>
  <c r="D33" i="3"/>
  <c r="C33" i="3"/>
  <c r="R32" i="3"/>
  <c r="O32" i="3"/>
  <c r="N32" i="3"/>
  <c r="L32" i="3"/>
  <c r="K32" i="3"/>
  <c r="J32" i="3"/>
  <c r="I32" i="3"/>
  <c r="H32" i="3"/>
  <c r="D32" i="3"/>
  <c r="C32" i="3"/>
  <c r="R31" i="3"/>
  <c r="O31" i="3"/>
  <c r="N31" i="3"/>
  <c r="L31" i="3"/>
  <c r="K31" i="3"/>
  <c r="J31" i="3"/>
  <c r="I31" i="3"/>
  <c r="H31" i="3"/>
  <c r="D31" i="3"/>
  <c r="C31" i="3"/>
  <c r="R30" i="3"/>
  <c r="O30" i="3"/>
  <c r="N30" i="3"/>
  <c r="L30" i="3"/>
  <c r="K30" i="3"/>
  <c r="J30" i="3"/>
  <c r="I30" i="3"/>
  <c r="H30" i="3"/>
  <c r="D30" i="3"/>
  <c r="C30" i="3"/>
  <c r="R29" i="3"/>
  <c r="O29" i="3"/>
  <c r="N29" i="3"/>
  <c r="L29" i="3"/>
  <c r="K29" i="3"/>
  <c r="J29" i="3"/>
  <c r="I29" i="3"/>
  <c r="H29" i="3"/>
  <c r="D29" i="3"/>
  <c r="C29" i="3"/>
  <c r="R28" i="3"/>
  <c r="O28" i="3"/>
  <c r="N28" i="3"/>
  <c r="L28" i="3"/>
  <c r="K28" i="3"/>
  <c r="J28" i="3"/>
  <c r="I28" i="3"/>
  <c r="H28" i="3"/>
  <c r="D28" i="3"/>
  <c r="C28" i="3"/>
  <c r="R27" i="3"/>
  <c r="O27" i="3"/>
  <c r="N27" i="3"/>
  <c r="L27" i="3"/>
  <c r="K27" i="3"/>
  <c r="J27" i="3"/>
  <c r="I27" i="3"/>
  <c r="H27" i="3"/>
  <c r="D27" i="3"/>
  <c r="C27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M35" i="3" l="1"/>
  <c r="M46" i="3"/>
  <c r="M34" i="3"/>
  <c r="M39" i="3"/>
  <c r="M48" i="3"/>
  <c r="M86" i="3"/>
  <c r="M87" i="3"/>
  <c r="M55" i="3"/>
  <c r="M73" i="3"/>
  <c r="M89" i="3"/>
  <c r="M33" i="3"/>
  <c r="M81" i="3"/>
  <c r="M32" i="3"/>
  <c r="M28" i="3"/>
  <c r="M38" i="3"/>
  <c r="M49" i="3"/>
  <c r="M51" i="3"/>
  <c r="M56" i="3"/>
  <c r="M71" i="3"/>
  <c r="M94" i="3"/>
  <c r="M100" i="3"/>
  <c r="M97" i="3"/>
  <c r="M29" i="3"/>
  <c r="M30" i="3"/>
  <c r="M37" i="3"/>
  <c r="M50" i="3"/>
  <c r="M66" i="3"/>
  <c r="M99" i="3"/>
  <c r="M101" i="3"/>
  <c r="M47" i="3"/>
  <c r="M27" i="3"/>
  <c r="M42" i="3"/>
  <c r="M65" i="3"/>
  <c r="M78" i="3"/>
  <c r="M93" i="3"/>
  <c r="M95" i="3"/>
  <c r="M31" i="3"/>
  <c r="M43" i="3"/>
  <c r="M45" i="3"/>
  <c r="M53" i="3"/>
  <c r="M54" i="3"/>
  <c r="M63" i="3"/>
  <c r="M67" i="3"/>
  <c r="M68" i="3"/>
  <c r="M69" i="3"/>
  <c r="M72" i="3"/>
  <c r="M74" i="3"/>
  <c r="M83" i="3"/>
  <c r="M75" i="3"/>
  <c r="M41" i="3"/>
  <c r="M52" i="3"/>
  <c r="M59" i="3"/>
  <c r="M61" i="3"/>
  <c r="M70" i="3"/>
  <c r="M80" i="3"/>
  <c r="M96" i="3"/>
  <c r="M98" i="3"/>
  <c r="M36" i="3"/>
  <c r="M40" i="3"/>
  <c r="M57" i="3"/>
  <c r="M62" i="3"/>
  <c r="M82" i="3"/>
  <c r="M85" i="3"/>
  <c r="M90" i="3"/>
  <c r="M58" i="3"/>
  <c r="M64" i="3"/>
  <c r="M77" i="3"/>
  <c r="M79" i="3"/>
  <c r="M84" i="3"/>
  <c r="M88" i="3"/>
  <c r="M91" i="3"/>
  <c r="M44" i="3"/>
  <c r="M60" i="3"/>
  <c r="M76" i="3"/>
  <c r="M92" i="3"/>
  <c r="R3" i="3" l="1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" i="3"/>
  <c r="A2" i="3" l="1"/>
  <c r="C3" i="3" l="1"/>
  <c r="D3" i="3"/>
  <c r="H3" i="3"/>
  <c r="I3" i="3"/>
  <c r="J3" i="3"/>
  <c r="K3" i="3"/>
  <c r="L3" i="3"/>
  <c r="N3" i="3"/>
  <c r="O3" i="3"/>
  <c r="C4" i="3"/>
  <c r="D4" i="3"/>
  <c r="H4" i="3"/>
  <c r="I4" i="3"/>
  <c r="J4" i="3"/>
  <c r="K4" i="3"/>
  <c r="L4" i="3"/>
  <c r="N4" i="3"/>
  <c r="O4" i="3"/>
  <c r="C5" i="3"/>
  <c r="D5" i="3"/>
  <c r="H5" i="3"/>
  <c r="I5" i="3"/>
  <c r="J5" i="3"/>
  <c r="K5" i="3"/>
  <c r="L5" i="3"/>
  <c r="N5" i="3"/>
  <c r="O5" i="3"/>
  <c r="C6" i="3"/>
  <c r="D6" i="3"/>
  <c r="H6" i="3"/>
  <c r="I6" i="3"/>
  <c r="J6" i="3"/>
  <c r="K6" i="3"/>
  <c r="L6" i="3"/>
  <c r="N6" i="3"/>
  <c r="O6" i="3"/>
  <c r="C7" i="3"/>
  <c r="D7" i="3"/>
  <c r="H7" i="3"/>
  <c r="I7" i="3"/>
  <c r="J7" i="3"/>
  <c r="K7" i="3"/>
  <c r="L7" i="3"/>
  <c r="N7" i="3"/>
  <c r="O7" i="3"/>
  <c r="C8" i="3"/>
  <c r="D8" i="3"/>
  <c r="H8" i="3"/>
  <c r="I8" i="3"/>
  <c r="J8" i="3"/>
  <c r="K8" i="3"/>
  <c r="L8" i="3"/>
  <c r="N8" i="3"/>
  <c r="O8" i="3"/>
  <c r="C9" i="3"/>
  <c r="D9" i="3"/>
  <c r="H9" i="3"/>
  <c r="I9" i="3"/>
  <c r="J9" i="3"/>
  <c r="K9" i="3"/>
  <c r="L9" i="3"/>
  <c r="N9" i="3"/>
  <c r="O9" i="3"/>
  <c r="C10" i="3"/>
  <c r="D10" i="3"/>
  <c r="H10" i="3"/>
  <c r="I10" i="3"/>
  <c r="J10" i="3"/>
  <c r="K10" i="3"/>
  <c r="L10" i="3"/>
  <c r="N10" i="3"/>
  <c r="O10" i="3"/>
  <c r="C11" i="3"/>
  <c r="D11" i="3"/>
  <c r="H11" i="3"/>
  <c r="I11" i="3"/>
  <c r="J11" i="3"/>
  <c r="K11" i="3"/>
  <c r="L11" i="3"/>
  <c r="N11" i="3"/>
  <c r="O11" i="3"/>
  <c r="C12" i="3"/>
  <c r="D12" i="3"/>
  <c r="H12" i="3"/>
  <c r="I12" i="3"/>
  <c r="J12" i="3"/>
  <c r="K12" i="3"/>
  <c r="L12" i="3"/>
  <c r="N12" i="3"/>
  <c r="O12" i="3"/>
  <c r="C13" i="3"/>
  <c r="D13" i="3"/>
  <c r="H13" i="3"/>
  <c r="I13" i="3"/>
  <c r="J13" i="3"/>
  <c r="K13" i="3"/>
  <c r="L13" i="3"/>
  <c r="N13" i="3"/>
  <c r="O13" i="3"/>
  <c r="C14" i="3"/>
  <c r="D14" i="3"/>
  <c r="H14" i="3"/>
  <c r="I14" i="3"/>
  <c r="J14" i="3"/>
  <c r="K14" i="3"/>
  <c r="L14" i="3"/>
  <c r="N14" i="3"/>
  <c r="O14" i="3"/>
  <c r="C15" i="3"/>
  <c r="D15" i="3"/>
  <c r="H15" i="3"/>
  <c r="I15" i="3"/>
  <c r="J15" i="3"/>
  <c r="K15" i="3"/>
  <c r="L15" i="3"/>
  <c r="N15" i="3"/>
  <c r="O15" i="3"/>
  <c r="C16" i="3"/>
  <c r="D16" i="3"/>
  <c r="H16" i="3"/>
  <c r="I16" i="3"/>
  <c r="J16" i="3"/>
  <c r="K16" i="3"/>
  <c r="L16" i="3"/>
  <c r="N16" i="3"/>
  <c r="O16" i="3"/>
  <c r="C17" i="3"/>
  <c r="D17" i="3"/>
  <c r="H17" i="3"/>
  <c r="I17" i="3"/>
  <c r="J17" i="3"/>
  <c r="K17" i="3"/>
  <c r="L17" i="3"/>
  <c r="N17" i="3"/>
  <c r="O17" i="3"/>
  <c r="C18" i="3"/>
  <c r="D18" i="3"/>
  <c r="H18" i="3"/>
  <c r="I18" i="3"/>
  <c r="J18" i="3"/>
  <c r="K18" i="3"/>
  <c r="L18" i="3"/>
  <c r="N18" i="3"/>
  <c r="O18" i="3"/>
  <c r="C19" i="3"/>
  <c r="D19" i="3"/>
  <c r="H19" i="3"/>
  <c r="I19" i="3"/>
  <c r="J19" i="3"/>
  <c r="K19" i="3"/>
  <c r="L19" i="3"/>
  <c r="N19" i="3"/>
  <c r="O19" i="3"/>
  <c r="C20" i="3"/>
  <c r="D20" i="3"/>
  <c r="H20" i="3"/>
  <c r="I20" i="3"/>
  <c r="J20" i="3"/>
  <c r="K20" i="3"/>
  <c r="L20" i="3"/>
  <c r="N20" i="3"/>
  <c r="O20" i="3"/>
  <c r="C21" i="3"/>
  <c r="D21" i="3"/>
  <c r="H21" i="3"/>
  <c r="I21" i="3"/>
  <c r="J21" i="3"/>
  <c r="K21" i="3"/>
  <c r="L21" i="3"/>
  <c r="N21" i="3"/>
  <c r="O21" i="3"/>
  <c r="C22" i="3"/>
  <c r="D22" i="3"/>
  <c r="H22" i="3"/>
  <c r="I22" i="3"/>
  <c r="J22" i="3"/>
  <c r="K22" i="3"/>
  <c r="L22" i="3"/>
  <c r="N22" i="3"/>
  <c r="O22" i="3"/>
  <c r="C23" i="3"/>
  <c r="D23" i="3"/>
  <c r="H23" i="3"/>
  <c r="I23" i="3"/>
  <c r="J23" i="3"/>
  <c r="K23" i="3"/>
  <c r="L23" i="3"/>
  <c r="N23" i="3"/>
  <c r="O23" i="3"/>
  <c r="C24" i="3"/>
  <c r="D24" i="3"/>
  <c r="H24" i="3"/>
  <c r="I24" i="3"/>
  <c r="J24" i="3"/>
  <c r="K24" i="3"/>
  <c r="L24" i="3"/>
  <c r="N24" i="3"/>
  <c r="O24" i="3"/>
  <c r="C25" i="3"/>
  <c r="D25" i="3"/>
  <c r="H25" i="3"/>
  <c r="I25" i="3"/>
  <c r="J25" i="3"/>
  <c r="K25" i="3"/>
  <c r="L25" i="3"/>
  <c r="N25" i="3"/>
  <c r="O25" i="3"/>
  <c r="C26" i="3"/>
  <c r="D26" i="3"/>
  <c r="H26" i="3"/>
  <c r="I26" i="3"/>
  <c r="J26" i="3"/>
  <c r="K26" i="3"/>
  <c r="L26" i="3"/>
  <c r="N26" i="3"/>
  <c r="O26" i="3"/>
  <c r="O2" i="3"/>
  <c r="N2" i="3"/>
  <c r="L2" i="3"/>
  <c r="H2" i="3"/>
  <c r="I2" i="3"/>
  <c r="J2" i="3"/>
  <c r="F2" i="3"/>
  <c r="G2" i="3"/>
  <c r="K2" i="3"/>
  <c r="D2" i="3"/>
  <c r="C2" i="3"/>
  <c r="M25" i="3" l="1"/>
  <c r="M21" i="3"/>
  <c r="M17" i="3"/>
  <c r="M13" i="3"/>
  <c r="M9" i="3"/>
  <c r="M5" i="3"/>
  <c r="M19" i="3"/>
  <c r="M15" i="3"/>
  <c r="M11" i="3"/>
  <c r="M7" i="3"/>
  <c r="M3" i="3"/>
  <c r="M24" i="3"/>
  <c r="M26" i="3"/>
  <c r="M22" i="3"/>
  <c r="M18" i="3"/>
  <c r="M14" i="3"/>
  <c r="M10" i="3"/>
  <c r="M6" i="3"/>
  <c r="M23" i="3"/>
  <c r="M20" i="3"/>
  <c r="M16" i="3"/>
  <c r="M12" i="3"/>
  <c r="M8" i="3"/>
  <c r="M4" i="3"/>
  <c r="M2" i="3"/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" i="3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</calcChain>
</file>

<file path=xl/sharedStrings.xml><?xml version="1.0" encoding="utf-8"?>
<sst xmlns="http://schemas.openxmlformats.org/spreadsheetml/2006/main" count="1440" uniqueCount="518">
  <si>
    <t>Email</t>
  </si>
  <si>
    <t>CPF</t>
  </si>
  <si>
    <t>Nome</t>
  </si>
  <si>
    <t>Sobrenome</t>
  </si>
  <si>
    <t>Nacionalidade</t>
  </si>
  <si>
    <t>Estado</t>
  </si>
  <si>
    <t>Cidade</t>
  </si>
  <si>
    <t>Bairro</t>
  </si>
  <si>
    <t>Endereço</t>
  </si>
  <si>
    <t>CEP</t>
  </si>
  <si>
    <t>Telefone</t>
  </si>
  <si>
    <t>Code</t>
  </si>
  <si>
    <t>Desc</t>
  </si>
  <si>
    <t>AFG</t>
  </si>
  <si>
    <t>ALB</t>
  </si>
  <si>
    <t>SAF</t>
  </si>
  <si>
    <t>DEU</t>
  </si>
  <si>
    <t>AND</t>
  </si>
  <si>
    <t>AGO</t>
  </si>
  <si>
    <t>ATG</t>
  </si>
  <si>
    <t>SAU</t>
  </si>
  <si>
    <t>DZA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</si>
  <si>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</si>
  <si>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</si>
  <si>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</si>
  <si>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</si>
  <si>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</si>
  <si>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</si>
  <si>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</si>
  <si>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</si>
  <si>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</si>
  <si>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</si>
  <si>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</si>
  <si>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</si>
  <si>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</si>
  <si>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</si>
  <si>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BOL</t>
  </si>
  <si>
    <t>BIH</t>
  </si>
  <si>
    <t>BWA</t>
  </si>
  <si>
    <t>BRA</t>
  </si>
  <si>
    <t>BRN</t>
  </si>
  <si>
    <t>BGR</t>
  </si>
  <si>
    <t>BFA</t>
  </si>
  <si>
    <t>BDI</t>
  </si>
  <si>
    <t>BTN</t>
  </si>
  <si>
    <t>CPV</t>
  </si>
  <si>
    <t>KHM</t>
  </si>
  <si>
    <t>CMR</t>
  </si>
  <si>
    <t>CAN</t>
  </si>
  <si>
    <t>CAR</t>
  </si>
  <si>
    <t>QAT</t>
  </si>
  <si>
    <t>KAZ</t>
  </si>
  <si>
    <t>TCD</t>
  </si>
  <si>
    <t>CHL</t>
  </si>
  <si>
    <t>CHN</t>
  </si>
  <si>
    <t>CYP</t>
  </si>
  <si>
    <t>COL</t>
  </si>
  <si>
    <t>COM</t>
  </si>
  <si>
    <t>COG</t>
  </si>
  <si>
    <t>PRK</t>
  </si>
  <si>
    <t>KOR</t>
  </si>
  <si>
    <t>CIV</t>
  </si>
  <si>
    <t>CRI</t>
  </si>
  <si>
    <t>HRV</t>
  </si>
  <si>
    <t>CUB</t>
  </si>
  <si>
    <t>CUR</t>
  </si>
  <si>
    <t>DNK</t>
  </si>
  <si>
    <t>DJI</t>
  </si>
  <si>
    <t>DMA</t>
  </si>
  <si>
    <t>EGY</t>
  </si>
  <si>
    <t>SLV</t>
  </si>
  <si>
    <t>ARE</t>
  </si>
  <si>
    <t>ECU</t>
  </si>
  <si>
    <t>ERI</t>
  </si>
  <si>
    <t>SVK</t>
  </si>
  <si>
    <t>SVN</t>
  </si>
  <si>
    <t>ESP</t>
  </si>
  <si>
    <t>USA</t>
  </si>
  <si>
    <t>EST</t>
  </si>
  <si>
    <t>ETH</t>
  </si>
  <si>
    <t>FJI</t>
  </si>
  <si>
    <t>PHL</t>
  </si>
  <si>
    <t>FIN</t>
  </si>
  <si>
    <t>FRA</t>
  </si>
  <si>
    <t>GAB</t>
  </si>
  <si>
    <t>GMB</t>
  </si>
  <si>
    <t>GHA</t>
  </si>
  <si>
    <t>GEO</t>
  </si>
  <si>
    <t>GRD</t>
  </si>
  <si>
    <t>GRC</t>
  </si>
  <si>
    <t>GTM</t>
  </si>
  <si>
    <t>GUY</t>
  </si>
  <si>
    <t>GIN</t>
  </si>
  <si>
    <t>GNB</t>
  </si>
  <si>
    <t>GNQ</t>
  </si>
  <si>
    <t>HTI</t>
  </si>
  <si>
    <t>HND</t>
  </si>
  <si>
    <t>HKG</t>
  </si>
  <si>
    <t>HUN</t>
  </si>
  <si>
    <t>MHL</t>
  </si>
  <si>
    <t>SLB</t>
  </si>
  <si>
    <t>IND</t>
  </si>
  <si>
    <t>IDN</t>
  </si>
  <si>
    <t>IRQ</t>
  </si>
  <si>
    <t>IRN</t>
  </si>
  <si>
    <t>IRL</t>
  </si>
  <si>
    <t>ISL</t>
  </si>
  <si>
    <t>ISR</t>
  </si>
  <si>
    <t>ITA</t>
  </si>
  <si>
    <t>JAM</t>
  </si>
  <si>
    <t>JPN</t>
  </si>
  <si>
    <t>JOR</t>
  </si>
  <si>
    <t>KIR</t>
  </si>
  <si>
    <t>KWT</t>
  </si>
  <si>
    <t>LAO</t>
  </si>
  <si>
    <t>LSO</t>
  </si>
  <si>
    <t>LVA</t>
  </si>
  <si>
    <t>LBN</t>
  </si>
  <si>
    <t>LBR</t>
  </si>
  <si>
    <t>LBY</t>
  </si>
  <si>
    <t>LIE</t>
  </si>
  <si>
    <t>LTU</t>
  </si>
  <si>
    <t>LUX</t>
  </si>
  <si>
    <t>MAC</t>
  </si>
  <si>
    <t>MKD</t>
  </si>
  <si>
    <t>MDG</t>
  </si>
  <si>
    <t>MYS</t>
  </si>
  <si>
    <t>MWI</t>
  </si>
  <si>
    <t>MDV</t>
  </si>
  <si>
    <t>MLI</t>
  </si>
  <si>
    <t>MLT</t>
  </si>
  <si>
    <t>MAR</t>
  </si>
  <si>
    <t>MUS</t>
  </si>
  <si>
    <t>MRT</t>
  </si>
  <si>
    <t>MEX</t>
  </si>
  <si>
    <t>MIC</t>
  </si>
  <si>
    <t>FSM</t>
  </si>
  <si>
    <t>MOZ</t>
  </si>
  <si>
    <t>MDA</t>
  </si>
  <si>
    <t>MCO</t>
  </si>
  <si>
    <t>MNG</t>
  </si>
  <si>
    <t>MSR</t>
  </si>
  <si>
    <t>NAM</t>
  </si>
  <si>
    <t>NRU</t>
  </si>
  <si>
    <t>NPL</t>
  </si>
  <si>
    <t>NIC</t>
  </si>
  <si>
    <t>NER</t>
  </si>
  <si>
    <t>NGA</t>
  </si>
  <si>
    <t>NOR</t>
  </si>
  <si>
    <t>NZL</t>
  </si>
  <si>
    <t>OMN</t>
  </si>
  <si>
    <t>NLD</t>
  </si>
  <si>
    <t>PLW</t>
  </si>
  <si>
    <t>PAN</t>
  </si>
  <si>
    <t>PNG</t>
  </si>
  <si>
    <t>PAK</t>
  </si>
  <si>
    <t>PRY</t>
  </si>
  <si>
    <t>PER</t>
  </si>
  <si>
    <t>POL</t>
  </si>
  <si>
    <t>PRT</t>
  </si>
  <si>
    <t>KEN</t>
  </si>
  <si>
    <t>KGZ</t>
  </si>
  <si>
    <t>GBR</t>
  </si>
  <si>
    <t>CAF</t>
  </si>
  <si>
    <t>CZE</t>
  </si>
  <si>
    <t>ZAR</t>
  </si>
  <si>
    <t>DOM</t>
  </si>
  <si>
    <t>ROM</t>
  </si>
  <si>
    <t>RWA</t>
  </si>
  <si>
    <t>RUS</t>
  </si>
  <si>
    <t>LCA</t>
  </si>
  <si>
    <t>WSM</t>
  </si>
  <si>
    <t>KNA</t>
  </si>
  <si>
    <t>SMR</t>
  </si>
  <si>
    <t>STP</t>
  </si>
  <si>
    <t>VCT</t>
  </si>
  <si>
    <t>SEN</t>
  </si>
  <si>
    <t>SLE</t>
  </si>
  <si>
    <t>SRB</t>
  </si>
  <si>
    <t>SYC</t>
  </si>
  <si>
    <t>SGP</t>
  </si>
  <si>
    <t>SYR</t>
  </si>
  <si>
    <t>SOM</t>
  </si>
  <si>
    <t>LKA</t>
  </si>
  <si>
    <t>SWZ</t>
  </si>
  <si>
    <t>SDN</t>
  </si>
  <si>
    <t>SWE</t>
  </si>
  <si>
    <t>CHE</t>
  </si>
  <si>
    <t>SUR</t>
  </si>
  <si>
    <t>THA</t>
  </si>
  <si>
    <t>TJK</t>
  </si>
  <si>
    <t>TZA</t>
  </si>
  <si>
    <t>PSE</t>
  </si>
  <si>
    <t>TIN</t>
  </si>
  <si>
    <t>TGO</t>
  </si>
  <si>
    <t>TON</t>
  </si>
  <si>
    <t>TTO</t>
  </si>
  <si>
    <t>TUN</t>
  </si>
  <si>
    <t>TKM</t>
  </si>
  <si>
    <t>TUR</t>
  </si>
  <si>
    <t>TUV</t>
  </si>
  <si>
    <t>UKR</t>
  </si>
  <si>
    <t>UGA</t>
  </si>
  <si>
    <t>URY</t>
  </si>
  <si>
    <t>UZB</t>
  </si>
  <si>
    <t>VUT</t>
  </si>
  <si>
    <t>VAT</t>
  </si>
  <si>
    <t>VEN</t>
  </si>
  <si>
    <t>VNM</t>
  </si>
  <si>
    <t>ZMB</t>
  </si>
  <si>
    <t>ZWE</t>
  </si>
  <si>
    <t>ALEMANHA</t>
  </si>
  <si>
    <t>ANDORRA</t>
  </si>
  <si>
    <t>ANGOLA</t>
  </si>
  <si>
    <t>ANTIGUA E BARBUDA</t>
  </si>
  <si>
    <t>ARGENTINA</t>
  </si>
  <si>
    <t>ARUBA</t>
  </si>
  <si>
    <t>BAHAMAS</t>
  </si>
  <si>
    <t>BAHRAIN</t>
  </si>
  <si>
    <t>BANGLADESH</t>
  </si>
  <si>
    <t>BARBADOS</t>
  </si>
  <si>
    <t>BELARUS</t>
  </si>
  <si>
    <t>BELIZE</t>
  </si>
  <si>
    <t>BENIN</t>
  </si>
  <si>
    <t>BOTSUANA</t>
  </si>
  <si>
    <t>BRASIL</t>
  </si>
  <si>
    <t>BRUNEI DARUSSALAM</t>
  </si>
  <si>
    <t>BURKINA FASO</t>
  </si>
  <si>
    <t>BURUNDI</t>
  </si>
  <si>
    <t>CABO VERDE</t>
  </si>
  <si>
    <t>CAMBOJA</t>
  </si>
  <si>
    <t>CARACAS</t>
  </si>
  <si>
    <t>CATAR</t>
  </si>
  <si>
    <t>CHADE</t>
  </si>
  <si>
    <t>CHILE</t>
  </si>
  <si>
    <t>CHINA</t>
  </si>
  <si>
    <t>CHIPRE</t>
  </si>
  <si>
    <t>COMORES</t>
  </si>
  <si>
    <t>CONGO</t>
  </si>
  <si>
    <t>COREIA DO NORTE</t>
  </si>
  <si>
    <t>COREIA DO SUL</t>
  </si>
  <si>
    <t>COSTA DO MARFIM</t>
  </si>
  <si>
    <t>COSTA RICA</t>
  </si>
  <si>
    <t>CUBA</t>
  </si>
  <si>
    <t>DINAMARCA</t>
  </si>
  <si>
    <t>DJIBOUTI</t>
  </si>
  <si>
    <t>EGIPTO</t>
  </si>
  <si>
    <t>EL SALVADOR</t>
  </si>
  <si>
    <t>EQUADOR</t>
  </si>
  <si>
    <t>ERITREA</t>
  </si>
  <si>
    <t>ESPANHA</t>
  </si>
  <si>
    <t>ESTADOS UNIDOS</t>
  </si>
  <si>
    <t>FIJI</t>
  </si>
  <si>
    <t>FILIPINAS</t>
  </si>
  <si>
    <t>GANA</t>
  </si>
  <si>
    <t>GRANADA</t>
  </si>
  <si>
    <t>GUATEMALA</t>
  </si>
  <si>
    <t>GUIANA</t>
  </si>
  <si>
    <t>HAITI</t>
  </si>
  <si>
    <t>HONDURAS</t>
  </si>
  <si>
    <t>HONG KONG</t>
  </si>
  <si>
    <t>HUNGRIA</t>
  </si>
  <si>
    <t>ILHAS MARSHALL</t>
  </si>
  <si>
    <t>IRAQUE</t>
  </si>
  <si>
    <t>IRLANDA</t>
  </si>
  <si>
    <t>ISRAEL</t>
  </si>
  <si>
    <t>JAMAICA</t>
  </si>
  <si>
    <t>KIRIBATI</t>
  </si>
  <si>
    <t>KUWAIT</t>
  </si>
  <si>
    <t>LAOS</t>
  </si>
  <si>
    <t>LESOTO</t>
  </si>
  <si>
    <t>LIECHTENSTEIN</t>
  </si>
  <si>
    <t>LUXEMBURGO</t>
  </si>
  <si>
    <t>MACAU</t>
  </si>
  <si>
    <t>MALDIVAS</t>
  </si>
  <si>
    <t>MALI</t>
  </si>
  <si>
    <t>MALTA</t>
  </si>
  <si>
    <t>MARROCOS</t>
  </si>
  <si>
    <t>MOLDOVA</t>
  </si>
  <si>
    <t>MONSERRATE</t>
  </si>
  <si>
    <t>NAURU</t>
  </si>
  <si>
    <t>NEPAL</t>
  </si>
  <si>
    <t>NORUEGA</t>
  </si>
  <si>
    <t>PALAU</t>
  </si>
  <si>
    <t>PARAGUAI</t>
  </si>
  <si>
    <t>PERU</t>
  </si>
  <si>
    <t>PORTUGAL</t>
  </si>
  <si>
    <t>REINO UNIDO</t>
  </si>
  <si>
    <t>RUANDA</t>
  </si>
  <si>
    <t>SAMOA</t>
  </si>
  <si>
    <t>SENEGAL</t>
  </si>
  <si>
    <t>SERRA LEOA</t>
  </si>
  <si>
    <t>SEYCHELLES</t>
  </si>
  <si>
    <t>SINGAPURA</t>
  </si>
  <si>
    <t>SRI LANKA</t>
  </si>
  <si>
    <t>SURINAME</t>
  </si>
  <si>
    <t>TINIAN</t>
  </si>
  <si>
    <t>TOGO</t>
  </si>
  <si>
    <t>TONGA</t>
  </si>
  <si>
    <t>TRINDADE E TOBAGO</t>
  </si>
  <si>
    <t>TURQUIA</t>
  </si>
  <si>
    <t>TUVALU</t>
  </si>
  <si>
    <t>UGANDA</t>
  </si>
  <si>
    <t>URUGUAI</t>
  </si>
  <si>
    <t>VANUATU</t>
  </si>
  <si>
    <t>VATICANO</t>
  </si>
  <si>
    <t>VENEZUELA</t>
  </si>
  <si>
    <t>VIETNAME</t>
  </si>
  <si>
    <t>AFEGANISTÃO</t>
  </si>
  <si>
    <t>ALBÂNIA</t>
  </si>
  <si>
    <t>ÁFRICA DO SUL</t>
  </si>
  <si>
    <t>ARÁBIA SAUDITA</t>
  </si>
  <si>
    <t>ARGÉLIA</t>
  </si>
  <si>
    <t>ARMÊNIA</t>
  </si>
  <si>
    <t>AUSTRÁLIA</t>
  </si>
  <si>
    <t>ÁUSTRIA</t>
  </si>
  <si>
    <t>AZERBAIJÃO</t>
  </si>
  <si>
    <t>BÉLGICA</t>
  </si>
  <si>
    <t>BOLÍVIA</t>
  </si>
  <si>
    <t>BÓSNIA E HERZEGOVINA</t>
  </si>
  <si>
    <t>BULGÁRIA</t>
  </si>
  <si>
    <t>BUTÃO</t>
  </si>
  <si>
    <t>CAMARÕES</t>
  </si>
  <si>
    <t>CANADÁ</t>
  </si>
  <si>
    <t>CAZAQUISTÃO</t>
  </si>
  <si>
    <t>COLÔMBIA</t>
  </si>
  <si>
    <t>CROÁCIA</t>
  </si>
  <si>
    <t>CURAÇAO</t>
  </si>
  <si>
    <t>DOMÍNICA</t>
  </si>
  <si>
    <t>EMIRATOS ÁRABES UNIDOS</t>
  </si>
  <si>
    <t>ESLOVÁQUIA</t>
  </si>
  <si>
    <t>ESLOVÉNIA</t>
  </si>
  <si>
    <t>ESTÓNIA</t>
  </si>
  <si>
    <t>ETIÓPIA</t>
  </si>
  <si>
    <t>FINLÂNDIA</t>
  </si>
  <si>
    <t>FRANÇA</t>
  </si>
  <si>
    <t>GABÃO</t>
  </si>
  <si>
    <t>GÂMBIA</t>
  </si>
  <si>
    <t>GEÓRGIA</t>
  </si>
  <si>
    <t>GRÉCIA</t>
  </si>
  <si>
    <t>GUINÉ</t>
  </si>
  <si>
    <t>GUINÉ-BISSAU</t>
  </si>
  <si>
    <t>GUINÉ EQUATORIAL</t>
  </si>
  <si>
    <t>ILHAS SALOMÃO</t>
  </si>
  <si>
    <t>ÍNDIA</t>
  </si>
  <si>
    <t>INDONÉSIA</t>
  </si>
  <si>
    <t>IRÃO</t>
  </si>
  <si>
    <t>ISLÂNDIA</t>
  </si>
  <si>
    <t>ITÁLIA</t>
  </si>
  <si>
    <t>JAPÃO</t>
  </si>
  <si>
    <t>JORDÂNIA</t>
  </si>
  <si>
    <t>LETÔNIA</t>
  </si>
  <si>
    <t>LÍBANO</t>
  </si>
  <si>
    <t>LIBÉRIA</t>
  </si>
  <si>
    <t>LÍBIA</t>
  </si>
  <si>
    <t>LITUÂNIA</t>
  </si>
  <si>
    <t>MACEDÓNIA</t>
  </si>
  <si>
    <t>MADAGÁSCAR</t>
  </si>
  <si>
    <t>MALÁSIA</t>
  </si>
  <si>
    <t>MALÁVI</t>
  </si>
  <si>
    <t>MAURÍCIA</t>
  </si>
  <si>
    <t>MAURITÂNIA</t>
  </si>
  <si>
    <t>MÉXICO</t>
  </si>
  <si>
    <t>MICRONÉSIA</t>
  </si>
  <si>
    <t>MOÇAMBIQUE</t>
  </si>
  <si>
    <t>MÓNACO</t>
  </si>
  <si>
    <t>MONGÓLIA</t>
  </si>
  <si>
    <t>NAMÍBIA</t>
  </si>
  <si>
    <t>NICARÁGUA</t>
  </si>
  <si>
    <t>NÍGER</t>
  </si>
  <si>
    <t>NIGÉRIA</t>
  </si>
  <si>
    <t>NOVA ZELÂNDIA</t>
  </si>
  <si>
    <t>OMÃ</t>
  </si>
  <si>
    <t>PAÍSES BAIXOS</t>
  </si>
  <si>
    <t>PANAMÁ</t>
  </si>
  <si>
    <t>PAPUA-NOVA GUINÉ</t>
  </si>
  <si>
    <t>PAQUISTÃO</t>
  </si>
  <si>
    <t>POLÓNIA</t>
  </si>
  <si>
    <t>QUÉNIA</t>
  </si>
  <si>
    <t>QUIRGUIZISTÃO</t>
  </si>
  <si>
    <t>REPÚBLICA CENTRO-AFRICANA</t>
  </si>
  <si>
    <t>REPÚBLICA CHECA</t>
  </si>
  <si>
    <t>REPÚBLICA DEMOCRÁTICA DO CONGO</t>
  </si>
  <si>
    <t>REPÚBLICA DOMINICANA</t>
  </si>
  <si>
    <t>ROMÉNIA</t>
  </si>
  <si>
    <t>RÚSSIA</t>
  </si>
  <si>
    <t>SANTA LÚCIA</t>
  </si>
  <si>
    <t>SÃO CRISTÓVÃO E NEVES</t>
  </si>
  <si>
    <t>SÃO MARINHO</t>
  </si>
  <si>
    <t>SÃO TOMÉ E PRÍNCIPE</t>
  </si>
  <si>
    <t>SÃO VICENTE E GRANADINAS</t>
  </si>
  <si>
    <t>SÉRVIA E MONTENEGRO</t>
  </si>
  <si>
    <t>SÍRIA</t>
  </si>
  <si>
    <t>SOMÁLIA</t>
  </si>
  <si>
    <t>SUAZILÂNDIA</t>
  </si>
  <si>
    <t>SUDÃO</t>
  </si>
  <si>
    <t>SUÉCIA</t>
  </si>
  <si>
    <t>SUÍÇA</t>
  </si>
  <si>
    <t>TAILÂNDIA</t>
  </si>
  <si>
    <t>TAJIQUISTÃO</t>
  </si>
  <si>
    <t>TANZÂNIA</t>
  </si>
  <si>
    <t>TERRITÓRIO PALESTINO</t>
  </si>
  <si>
    <t>TUNÍSIA</t>
  </si>
  <si>
    <t>TURQUEMENISTÃO</t>
  </si>
  <si>
    <t>UCRÂNIA</t>
  </si>
  <si>
    <t>USBEQUISTÃO</t>
  </si>
  <si>
    <t>ZÂMBIA</t>
  </si>
  <si>
    <t>ZIMBABUÉ</t>
  </si>
  <si>
    <t>Nacionalidad</t>
  </si>
  <si>
    <t>Estados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</si>
  <si>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</si>
  <si>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</si>
  <si>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</si>
  <si>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</si>
  <si>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</si>
  <si>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</si>
  <si>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</si>
  <si>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</si>
  <si>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</si>
  <si>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</si>
  <si>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</si>
  <si>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</si>
  <si>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</si>
  <si>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</si>
  <si>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</si>
  <si>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</si>
  <si>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</si>
  <si>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</si>
  <si>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</si>
  <si>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</si>
  <si>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</si>
  <si>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</si>
  <si>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</si>
  <si>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</si>
  <si>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</si>
  <si>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</si>
  <si>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</si>
  <si>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Acre</t>
  </si>
  <si>
    <t>Alagoas</t>
  </si>
  <si>
    <t>Amapá</t>
  </si>
  <si>
    <t>Amazonas</t>
  </si>
  <si>
    <t>Bahia</t>
  </si>
  <si>
    <t>Ceará</t>
  </si>
  <si>
    <t xml:space="preserve">Distrito Federal </t>
  </si>
  <si>
    <t>Espírito Santo</t>
  </si>
  <si>
    <t>Goiás</t>
  </si>
  <si>
    <t>Maranhão</t>
  </si>
  <si>
    <t>Mato Grosso</t>
  </si>
  <si>
    <t>Mato Grosso do Sul</t>
  </si>
  <si>
    <t>Minas Gerais</t>
  </si>
  <si>
    <t>Pará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</si>
  <si>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</si>
  <si>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</si>
  <si>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</si>
  <si>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</si>
  <si>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</si>
  <si>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</si>
  <si>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</si>
  <si>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</si>
  <si>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</si>
  <si>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</si>
  <si>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</si>
  <si>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</si>
  <si>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</si>
  <si>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Textos Varios</t>
  </si>
  <si>
    <t>Campo necessário</t>
  </si>
  <si>
    <t>Origen / Destino</t>
  </si>
  <si>
    <t>Número</t>
  </si>
  <si>
    <t>IDA E VOLTA</t>
  </si>
  <si>
    <t>INTERNACIONAL</t>
  </si>
  <si>
    <t>N°</t>
  </si>
  <si>
    <t>Nacionalidade_Code</t>
  </si>
  <si>
    <t>Estado Code</t>
  </si>
  <si>
    <t>NACIONAL</t>
  </si>
  <si>
    <t>Validity</t>
  </si>
  <si>
    <t>domestic</t>
  </si>
  <si>
    <t>international</t>
  </si>
  <si>
    <t>TypeOfPassage</t>
  </si>
  <si>
    <t>RoundTrip</t>
  </si>
  <si>
    <t>OneWay</t>
  </si>
  <si>
    <t>SOMENTE IDA</t>
  </si>
  <si>
    <t>Email inválido</t>
  </si>
  <si>
    <t>CPF inválido</t>
  </si>
  <si>
    <t>CEP inválido</t>
  </si>
  <si>
    <t>Número de Telefone inválido</t>
  </si>
  <si>
    <t>Código do Telefone inválido</t>
  </si>
  <si>
    <t>DateOfBirth</t>
  </si>
  <si>
    <t>FirstName</t>
  </si>
  <si>
    <t>LastName</t>
  </si>
  <si>
    <t>Nacionality</t>
  </si>
  <si>
    <t>Passport</t>
  </si>
  <si>
    <t>Address</t>
  </si>
  <si>
    <t>Neighborhood</t>
  </si>
  <si>
    <t>City</t>
  </si>
  <si>
    <t>State</t>
  </si>
  <si>
    <t>ZipCode</t>
  </si>
  <si>
    <t>Telephone</t>
  </si>
  <si>
    <t>Telephone1</t>
  </si>
  <si>
    <t>Telephone2</t>
  </si>
  <si>
    <t>spouseCheck</t>
  </si>
  <si>
    <t>childCheck</t>
  </si>
  <si>
    <t>off</t>
  </si>
  <si>
    <t>Status</t>
  </si>
  <si>
    <t>CompanyName</t>
  </si>
  <si>
    <t>Data inválida</t>
  </si>
  <si>
    <t>A data não pode ser posterior à data do dia</t>
  </si>
  <si>
    <t>A data não pode ser anterior à data do dia</t>
  </si>
  <si>
    <t>Código da área</t>
  </si>
  <si>
    <t>PASSO 1: Informar aqui o nome da empresa:</t>
  </si>
  <si>
    <t>PASSO 2: Informar abaixo os dados dos usuários:</t>
  </si>
  <si>
    <t>FOLHA DE UPLOAD EM LOTE PARA BILHETES DE VIAGEM CTA</t>
  </si>
  <si>
    <t>As células com fundo cinza não deve ser copiado</t>
  </si>
  <si>
    <t>BIELORRÚSSIA</t>
  </si>
  <si>
    <t>EMIRADOS ÁRABES UNIDOS</t>
  </si>
  <si>
    <t>MYANMAR</t>
  </si>
  <si>
    <t>MMR</t>
  </si>
  <si>
    <t>Data de Nascimento</t>
  </si>
  <si>
    <t>V 4.9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</si>
</sst>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B0F0"/>
      <name val="Arial"/>
      <family val="2"/>
    </font>
    <font>
      <sz val="11"/>
      <color theme="0"/>
      <name val="Calibri"/>
      <family val="2"/>
      <scheme val="minor"/>
    </font>
    <font>
      <b/>
      <sz val="16"/>
      <color rgb="FF00B0F0"/>
      <name val="Arial"/>
      <family val="2"/>
    </font>
    <font>
      <b/>
      <sz val="11"/>
      <color rgb="FF0192F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color rgb="FFFF0000"/>
      <name val="Calibri"/>
      <family val="2"/>
      <scheme val="minor"/>
    </font>
    <font>
      <b/>
      <sz val="16"/>
      <color rgb="FFC00000"/>
      <name val="Arial"/>
      <family val="2"/>
    </font>
    <font>
      <sz val="24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45066682943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4506668294322"/>
      </top>
      <bottom/>
      <diagonal/>
    </border>
    <border>
      <left style="thin">
        <color theme="4" tint="0.39991454817346722"/>
      </left>
      <right style="thin">
        <color theme="4" tint="0.39991454817346722"/>
      </right>
      <top/>
      <bottom style="thin">
        <color theme="4" tint="0.399914548173467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</borders>
  <cellStyleXfs count="3">
    <xf numFmtId="0" fontId="0" fillId="0" borderId="0"/>
    <xf numFmtId="0" fontId="1" fillId="4" borderId="9" applyNumberFormat="0" applyAlignment="0" applyProtection="0"/>
    <xf numFmtId="0" fontId="11" fillId="0" borderId="0" applyNumberFormat="0" applyFill="0" applyBorder="0" applyAlignment="0" applyProtection="0"/>
  </cellStyleXfs>
  <cellXfs count="51">
    <xf numFmtId="0" fontId="0" fillId="0" borderId="0" xfId="0"/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3" fillId="3" borderId="0" xfId="0" applyFont="1" applyFill="1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4" borderId="9" xfId="1"/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1" xfId="0" applyFont="1" applyBorder="1" applyAlignment="1">
      <alignment horizontal="left"/>
    </xf>
    <xf numFmtId="0" fontId="3" fillId="0" borderId="0" xfId="0" applyFont="1"/>
    <xf numFmtId="0" fontId="2" fillId="0" borderId="0" xfId="0" applyFont="1"/>
    <xf numFmtId="0" fontId="4" fillId="0" borderId="0" xfId="0" applyFont="1"/>
    <xf numFmtId="0" fontId="6" fillId="0" borderId="0" xfId="0" applyFont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5" borderId="3" xfId="0" applyFill="1" applyBorder="1" applyAlignment="1" applyProtection="1">
      <alignment horizontal="center"/>
      <protection locked="0"/>
    </xf>
    <xf numFmtId="0" fontId="9" fillId="0" borderId="0" xfId="0" applyFont="1"/>
    <xf numFmtId="0" fontId="0" fillId="5" borderId="11" xfId="0" applyFill="1" applyBorder="1" applyAlignment="1">
      <alignment horizontal="center"/>
    </xf>
    <xf numFmtId="0" fontId="1" fillId="2" borderId="13" xfId="0" applyFont="1" applyFill="1" applyBorder="1" applyAlignment="1">
      <alignment horizontal="left" wrapText="1"/>
    </xf>
    <xf numFmtId="0" fontId="2" fillId="0" borderId="1" xfId="0" applyFont="1" applyBorder="1" applyAlignment="1">
      <alignment horizontal="left" indent="2"/>
    </xf>
    <xf numFmtId="49" fontId="0" fillId="0" borderId="0" xfId="0" applyNumberFormat="1" applyProtection="1">
      <protection locked="0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49" fontId="0" fillId="0" borderId="0" xfId="0" applyNumberFormat="1"/>
    <xf numFmtId="0" fontId="11" fillId="0" borderId="3" xfId="2" applyFill="1" applyBorder="1" applyAlignment="1" applyProtection="1">
      <alignment horizontal="left"/>
      <protection locked="0"/>
    </xf>
    <xf numFmtId="0" fontId="1" fillId="4" borderId="14" xfId="1" applyNumberFormat="1" applyBorder="1"/>
    <xf numFmtId="0" fontId="12" fillId="0" borderId="5" xfId="0" applyFont="1" applyBorder="1" applyAlignment="1">
      <alignment horizontal="center"/>
    </xf>
    <xf numFmtId="0" fontId="6" fillId="0" borderId="0" xfId="0" applyFont="1"/>
    <xf numFmtId="0" fontId="7" fillId="0" borderId="0" xfId="0" applyFont="1"/>
    <xf numFmtId="0" fontId="0" fillId="0" borderId="3" xfId="0" applyBorder="1" applyAlignment="1" applyProtection="1">
      <alignment horizontal="left"/>
      <protection locked="0"/>
    </xf>
    <xf numFmtId="14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49" fontId="0" fillId="0" borderId="3" xfId="0" applyNumberFormat="1" applyBorder="1" applyAlignment="1" applyProtection="1">
      <alignment horizontal="center"/>
      <protection locked="0"/>
    </xf>
    <xf numFmtId="0" fontId="6" fillId="0" borderId="6" xfId="0" applyFont="1" applyBorder="1" applyAlignment="1" applyProtection="1">
      <alignment horizontal="left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8" xfId="0" applyFont="1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/>
      <protection locked="0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wrapText="1"/>
    </xf>
    <xf numFmtId="0" fontId="1" fillId="2" borderId="13" xfId="0" applyFont="1" applyFill="1" applyBorder="1" applyAlignment="1">
      <alignment wrapText="1"/>
    </xf>
    <xf numFmtId="0" fontId="1" fillId="2" borderId="2" xfId="0" applyFont="1" applyFill="1" applyBorder="1" applyAlignment="1">
      <alignment horizontal="left" wrapText="1"/>
    </xf>
    <xf numFmtId="0" fontId="1" fillId="2" borderId="13" xfId="0" applyFont="1" applyFill="1" applyBorder="1" applyAlignment="1">
      <alignment horizontal="left" wrapText="1"/>
    </xf>
    <xf numFmtId="0" fontId="1" fillId="2" borderId="1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1" fillId="2" borderId="5" xfId="0" applyFont="1" applyFill="1" applyBorder="1" applyAlignment="1">
      <alignment horizontal="center" wrapText="1"/>
    </xf>
    <xf numFmtId="0" fontId="1" fillId="2" borderId="4" xfId="0" applyFont="1" applyFill="1" applyBorder="1" applyAlignment="1" applyProtection="1">
      <alignment horizontal="center" wrapText="1"/>
      <protection locked="0" hidden="1"/>
    </xf>
    <xf numFmtId="0" fontId="1" fillId="2" borderId="5" xfId="0" applyFont="1" applyFill="1" applyBorder="1" applyAlignment="1" applyProtection="1">
      <alignment horizontal="center" wrapText="1"/>
      <protection locked="0" hidden="1"/>
    </xf>
  </cellXfs>
  <cellStyles count="3">
    <cellStyle name="Celda de comprobación" xfId="1" builtinId="23"/>
    <cellStyle name="Hipervínculo" xfId="2" builtinId="8"/>
    <cellStyle name="Normal" xfId="0" builtinId="0"/>
  </cellStyles>
  <dxfs count="0"/>
  <tableStyles count="0" defaultTableStyle="TableStyleMedium2" defaultPivotStyle="PivotStyleLight16"/>
  <colors>
    <mruColors>
      <color rgb="FF019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695325</xdr:colOff>
          <xdr:row>3</xdr:row>
          <xdr:rowOff>180975</xdr:rowOff>
        </xdr:from>
        <xdr:to>
          <xdr:col>12</xdr:col>
          <xdr:colOff>114300</xdr:colOff>
          <xdr:row>6</xdr:row>
          <xdr:rowOff>266700</xdr:rowOff>
        </xdr:to>
        <xdr:sp macro="" textlink="">
          <xdr:nvSpPr>
            <xdr:cNvPr id="1026" name="Button 2" descr="Valid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AR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59531</xdr:colOff>
      <xdr:row>0</xdr:row>
      <xdr:rowOff>83344</xdr:rowOff>
    </xdr:from>
    <xdr:to>
      <xdr:col>3</xdr:col>
      <xdr:colOff>2382</xdr:colOff>
      <xdr:row>3</xdr:row>
      <xdr:rowOff>23812</xdr:rowOff>
    </xdr:to>
    <xdr:pic>
      <xdr:nvPicPr>
        <xdr:cNvPr id="4" name="Imagen 3" descr="Imagen relacionada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" y="83344"/>
          <a:ext cx="1145382" cy="6310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310"/>
  <sheetViews>
    <sheetView showGridLines="0" tabSelected="1" zoomScale="80" zoomScaleNormal="80" workbookViewId="0">
      <pane ySplit="12" topLeftCell="A13" activePane="bottomLeft" state="frozen"/>
      <selection pane="bottomLeft" activeCell="D13" sqref="D13"/>
    </sheetView>
  </sheetViews>
  <sheetFormatPr baseColWidth="10" defaultColWidth="11.42578125" defaultRowHeight="15" x14ac:dyDescent="0.25"/>
  <cols>
    <col min="1" max="1" width="2.28515625" style="2" customWidth="1"/>
    <col min="2" max="2" width="6.7109375" style="2" customWidth="1"/>
    <col min="3" max="3" width="9" style="2" customWidth="1"/>
    <col min="4" max="4" width="30.28515625" style="2" customWidth="1"/>
    <col min="5" max="6" width="34.140625" style="2" customWidth="1"/>
    <col min="7" max="7" width="32.7109375" style="23" customWidth="1"/>
    <col min="8" max="8" width="22.140625" style="2" customWidth="1"/>
    <col min="9" max="9" width="15.85546875" style="23" customWidth="1"/>
    <col min="10" max="10" width="11.42578125" style="2" customWidth="1"/>
    <col min="11" max="11" width="34.5703125" style="2" customWidth="1"/>
    <col min="12" max="12" width="38.7109375" style="2" customWidth="1"/>
    <col min="13" max="13" width="41.28515625" style="2" customWidth="1"/>
    <col min="14" max="14" width="11.42578125" style="2"/>
    <col min="15" max="15" width="15" style="2" customWidth="1"/>
    <col min="16" max="16" width="28.42578125" style="2" customWidth="1"/>
    <col min="17" max="17" width="14.7109375" style="2" hidden="1" customWidth="1"/>
    <col min="18" max="18" width="17.5703125" style="3" hidden="1" customWidth="1"/>
    <col min="19" max="20" width="16.7109375" style="2" customWidth="1"/>
    <col min="21" max="25" width="11.42578125" style="2" customWidth="1"/>
    <col min="26" max="16384" width="11.42578125" style="2"/>
  </cols>
  <sheetData>
    <row r="1" spans="1:25" x14ac:dyDescent="0.25">
      <c r="A1" s="1"/>
      <c r="B1" s="1">
        <v>1</v>
      </c>
      <c r="C1" s="1"/>
      <c r="D1" s="1"/>
      <c r="E1" s="1"/>
      <c r="G1" s="2"/>
      <c r="I1" s="2"/>
    </row>
    <row r="2" spans="1:25" x14ac:dyDescent="0.25">
      <c r="A2" s="1"/>
      <c r="B2" s="1">
        <v>0</v>
      </c>
      <c r="C2" s="1"/>
      <c r="D2" s="1"/>
      <c r="E2" s="1"/>
      <c r="G2" s="2"/>
      <c r="I2" s="2"/>
      <c r="R2" s="2"/>
    </row>
    <row r="3" spans="1:25" ht="24" thickBot="1" x14ac:dyDescent="0.4">
      <c r="A3" s="1"/>
      <c r="C3" s="10"/>
      <c r="D3" s="22" t="s">
        <v>510</v>
      </c>
      <c r="E3" s="10"/>
      <c r="F3" s="10"/>
      <c r="G3" s="7"/>
      <c r="H3" s="7"/>
      <c r="I3" s="7"/>
      <c r="J3" s="7"/>
      <c r="K3" s="7"/>
      <c r="L3" s="7"/>
      <c r="M3" s="7"/>
      <c r="N3" s="7"/>
      <c r="O3" s="8"/>
      <c r="P3" s="8" t="s">
        <v>517</v>
      </c>
      <c r="R3" s="2"/>
    </row>
    <row r="4" spans="1:25" ht="24.75" thickTop="1" thickBot="1" x14ac:dyDescent="0.4">
      <c r="A4" s="1"/>
      <c r="B4" s="11"/>
      <c r="C4" s="11"/>
      <c r="D4" s="11"/>
      <c r="E4" s="11"/>
      <c r="F4" s="12"/>
      <c r="G4" s="2"/>
      <c r="H4" s="9"/>
      <c r="I4" s="9"/>
      <c r="J4" s="9"/>
      <c r="K4" s="9"/>
      <c r="L4" s="9"/>
      <c r="M4" s="9"/>
      <c r="N4" s="9"/>
      <c r="O4" s="9"/>
      <c r="P4" s="9"/>
      <c r="R4" s="2"/>
    </row>
    <row r="5" spans="1:25" ht="24" thickBot="1" x14ac:dyDescent="0.4">
      <c r="A5" s="1"/>
      <c r="B5" s="13" t="s">
        <v>508</v>
      </c>
      <c r="C5" s="11"/>
      <c r="D5" s="11"/>
      <c r="E5" s="11"/>
      <c r="F5" s="12"/>
      <c r="G5" s="36"/>
      <c r="H5" s="37"/>
      <c r="I5" s="37"/>
      <c r="J5" s="38"/>
      <c r="K5" s="9"/>
      <c r="L5" s="9"/>
      <c r="M5" s="9"/>
      <c r="N5" s="9"/>
      <c r="O5" s="9"/>
      <c r="P5" s="9"/>
      <c r="Q5" s="9"/>
      <c r="R5" s="9"/>
    </row>
    <row r="6" spans="1:25" ht="23.25" x14ac:dyDescent="0.35">
      <c r="A6" s="1"/>
      <c r="B6" s="31"/>
      <c r="C6" s="11"/>
      <c r="D6" s="11"/>
      <c r="E6" s="11"/>
      <c r="F6" s="12"/>
      <c r="G6" s="2"/>
      <c r="H6" s="9"/>
      <c r="I6" s="9"/>
      <c r="J6" s="9"/>
      <c r="K6" s="9"/>
      <c r="L6" s="9"/>
      <c r="M6" s="9"/>
      <c r="N6" s="9"/>
      <c r="O6" s="9"/>
      <c r="P6" s="9"/>
      <c r="Q6" s="9"/>
      <c r="R6" s="9"/>
    </row>
    <row r="7" spans="1:25" ht="23.25" x14ac:dyDescent="0.35">
      <c r="A7" s="1"/>
      <c r="B7" s="13" t="s">
        <v>509</v>
      </c>
      <c r="C7" s="11"/>
      <c r="D7" s="11"/>
      <c r="E7" s="11"/>
      <c r="F7" s="12"/>
      <c r="G7" s="19" t="s">
        <v>511</v>
      </c>
      <c r="H7" s="9"/>
      <c r="I7" s="9"/>
      <c r="J7" s="9"/>
      <c r="K7" s="9"/>
      <c r="L7" s="9"/>
      <c r="M7" s="9"/>
      <c r="N7" s="9"/>
      <c r="O7" s="9"/>
      <c r="P7" s="14"/>
      <c r="Q7" s="9"/>
      <c r="R7" s="9"/>
    </row>
    <row r="8" spans="1:25" ht="23.25" hidden="1" x14ac:dyDescent="0.35">
      <c r="A8" s="1"/>
      <c r="B8" s="13"/>
      <c r="C8" s="11"/>
      <c r="D8" s="11"/>
      <c r="E8" s="11"/>
      <c r="F8" s="12"/>
      <c r="G8" s="2"/>
      <c r="H8" s="9"/>
      <c r="I8" s="9"/>
      <c r="J8" s="9"/>
      <c r="K8" s="9"/>
      <c r="L8" s="9"/>
      <c r="M8" s="9"/>
      <c r="N8" s="9"/>
      <c r="O8" s="9"/>
      <c r="P8" s="14"/>
      <c r="Q8" s="9"/>
      <c r="R8" s="9"/>
    </row>
    <row r="9" spans="1:25" s="3" customFormat="1" hidden="1" x14ac:dyDescent="0.25">
      <c r="A9" s="15"/>
      <c r="B9" s="16">
        <v>2</v>
      </c>
      <c r="C9" s="17">
        <v>3</v>
      </c>
      <c r="D9" s="17">
        <v>4</v>
      </c>
      <c r="E9" s="17">
        <v>5</v>
      </c>
      <c r="F9" s="15">
        <v>6</v>
      </c>
      <c r="G9" s="16">
        <v>7</v>
      </c>
      <c r="H9" s="17">
        <v>8</v>
      </c>
      <c r="I9" s="17">
        <v>9</v>
      </c>
      <c r="J9" s="17">
        <v>10</v>
      </c>
      <c r="K9" s="15">
        <v>11</v>
      </c>
      <c r="L9" s="16">
        <v>12</v>
      </c>
      <c r="M9" s="17">
        <v>13</v>
      </c>
      <c r="N9" s="17">
        <v>14</v>
      </c>
      <c r="O9" s="17">
        <v>15</v>
      </c>
      <c r="P9" s="15">
        <v>16</v>
      </c>
      <c r="Q9" s="16">
        <v>17</v>
      </c>
      <c r="R9" s="17">
        <v>18</v>
      </c>
      <c r="S9" s="17"/>
      <c r="T9" s="17"/>
      <c r="U9" s="17"/>
      <c r="V9" s="15"/>
      <c r="W9" s="16"/>
      <c r="X9" s="17"/>
      <c r="Y9" s="17"/>
    </row>
    <row r="10" spans="1:25" x14ac:dyDescent="0.25">
      <c r="A10" s="1"/>
      <c r="B10" s="4">
        <v>1</v>
      </c>
      <c r="C10" s="1"/>
      <c r="D10" s="1"/>
      <c r="E10" s="1"/>
      <c r="G10" s="2"/>
      <c r="I10" s="2"/>
      <c r="O10" s="39"/>
      <c r="P10" s="39"/>
    </row>
    <row r="11" spans="1:25" ht="15" customHeight="1" x14ac:dyDescent="0.25">
      <c r="B11" s="40"/>
      <c r="C11" s="40" t="s">
        <v>470</v>
      </c>
      <c r="D11" s="44" t="s">
        <v>2</v>
      </c>
      <c r="E11" s="44" t="s">
        <v>3</v>
      </c>
      <c r="F11" s="44" t="s">
        <v>0</v>
      </c>
      <c r="G11" s="40" t="s">
        <v>516</v>
      </c>
      <c r="H11" s="42" t="s">
        <v>4</v>
      </c>
      <c r="I11" s="42" t="s">
        <v>1</v>
      </c>
      <c r="J11" s="42" t="s">
        <v>5</v>
      </c>
      <c r="K11" s="42" t="s">
        <v>6</v>
      </c>
      <c r="L11" s="42" t="s">
        <v>7</v>
      </c>
      <c r="M11" s="42" t="s">
        <v>8</v>
      </c>
      <c r="N11" s="40" t="s">
        <v>9</v>
      </c>
      <c r="O11" s="40" t="s">
        <v>10</v>
      </c>
      <c r="P11" s="40"/>
      <c r="Q11" s="49" t="s">
        <v>471</v>
      </c>
      <c r="R11" s="47" t="s">
        <v>472</v>
      </c>
    </row>
    <row r="12" spans="1:25" s="5" customFormat="1" ht="17.25" customHeight="1" x14ac:dyDescent="0.25">
      <c r="B12" s="41"/>
      <c r="C12" s="41"/>
      <c r="D12" s="45"/>
      <c r="E12" s="45"/>
      <c r="F12" s="45"/>
      <c r="G12" s="46"/>
      <c r="H12" s="43"/>
      <c r="I12" s="43"/>
      <c r="J12" s="43"/>
      <c r="K12" s="43"/>
      <c r="L12" s="43"/>
      <c r="M12" s="43"/>
      <c r="N12" s="46"/>
      <c r="O12" s="21" t="s">
        <v>507</v>
      </c>
      <c r="P12" s="21" t="s">
        <v>467</v>
      </c>
      <c r="Q12" s="50"/>
      <c r="R12" s="48"/>
    </row>
    <row r="13" spans="1:25" x14ac:dyDescent="0.25">
      <c r="B13" s="18">
        <v>-1</v>
      </c>
      <c r="C13" s="20">
        <v>1</v>
      </c>
      <c r="D13" s="32"/>
      <c r="E13" s="32"/>
      <c r="F13" s="27"/>
      <c r="G13" s="33"/>
      <c r="H13" s="34"/>
      <c r="I13" s="32"/>
      <c r="J13" s="32"/>
      <c r="K13" s="34"/>
      <c r="L13" s="34"/>
      <c r="M13" s="34"/>
      <c r="N13" s="35"/>
      <c r="O13" s="32"/>
      <c r="P13" s="32"/>
      <c r="Q13" s="24" t="e">
        <f>VLOOKUP(H13,Validacion!B$4:C$202,2,FALSE)</f>
        <v>#N/A</v>
      </c>
      <c r="R13" s="25" t="e">
        <f>VLOOKUP(J13,Validacion!D$4:E$30,2,FALSE)</f>
        <v>#N/A</v>
      </c>
    </row>
    <row r="14" spans="1:25" x14ac:dyDescent="0.25">
      <c r="B14" s="18">
        <v>-1</v>
      </c>
      <c r="C14" s="20">
        <f>C13+1</f>
        <v>2</v>
      </c>
      <c r="D14" s="32"/>
      <c r="E14" s="32"/>
      <c r="F14" s="27"/>
      <c r="G14" s="33"/>
      <c r="H14" s="34"/>
      <c r="I14" s="32"/>
      <c r="J14" s="32"/>
      <c r="K14" s="34"/>
      <c r="L14" s="34"/>
      <c r="M14" s="34"/>
      <c r="N14" s="35"/>
      <c r="O14" s="32"/>
      <c r="P14" s="32"/>
      <c r="Q14" s="24" t="e">
        <f>VLOOKUP(H14,Validacion!B$4:C$202,2,FALSE)</f>
        <v>#N/A</v>
      </c>
      <c r="R14" s="25" t="e">
        <f>VLOOKUP(J14,Validacion!D$4:E$30,2,FALSE)</f>
        <v>#N/A</v>
      </c>
    </row>
    <row r="15" spans="1:25" x14ac:dyDescent="0.25">
      <c r="B15" s="18">
        <v>-1</v>
      </c>
      <c r="C15" s="20">
        <f t="shared" ref="C15:C78" si="0">C14+1</f>
        <v>3</v>
      </c>
      <c r="D15" s="32"/>
      <c r="E15" s="32"/>
      <c r="F15" s="27"/>
      <c r="G15" s="33"/>
      <c r="H15" s="34"/>
      <c r="I15" s="32"/>
      <c r="J15" s="32"/>
      <c r="K15" s="34"/>
      <c r="L15" s="34"/>
      <c r="M15" s="34"/>
      <c r="N15" s="35"/>
      <c r="O15" s="32"/>
      <c r="P15" s="32"/>
      <c r="Q15" s="24" t="e">
        <f>VLOOKUP(H15,Validacion!B$4:C$202,2,FALSE)</f>
        <v>#N/A</v>
      </c>
      <c r="R15" s="25" t="e">
        <f>VLOOKUP(J15,Validacion!D$4:E$30,2,FALSE)</f>
        <v>#N/A</v>
      </c>
    </row>
    <row r="16" spans="1:25" x14ac:dyDescent="0.25">
      <c r="B16" s="18">
        <v>-1</v>
      </c>
      <c r="C16" s="20">
        <f t="shared" si="0"/>
        <v>4</v>
      </c>
      <c r="D16" s="32"/>
      <c r="E16" s="32"/>
      <c r="F16" s="27"/>
      <c r="G16" s="33"/>
      <c r="H16" s="34"/>
      <c r="I16" s="32"/>
      <c r="J16" s="32"/>
      <c r="K16" s="34"/>
      <c r="L16" s="34"/>
      <c r="M16" s="34"/>
      <c r="N16" s="35"/>
      <c r="O16" s="32"/>
      <c r="P16" s="32"/>
      <c r="Q16" s="24" t="e">
        <f>VLOOKUP(H16,Validacion!B$4:C$202,2,FALSE)</f>
        <v>#N/A</v>
      </c>
      <c r="R16" s="25" t="e">
        <f>VLOOKUP(J16,Validacion!D$4:E$30,2,FALSE)</f>
        <v>#N/A</v>
      </c>
    </row>
    <row r="17" spans="2:18" x14ac:dyDescent="0.25">
      <c r="B17" s="18">
        <v>-1</v>
      </c>
      <c r="C17" s="20">
        <f t="shared" si="0"/>
        <v>5</v>
      </c>
      <c r="D17" s="32"/>
      <c r="E17" s="32"/>
      <c r="F17" s="27"/>
      <c r="G17" s="33"/>
      <c r="H17" s="34"/>
      <c r="I17" s="32"/>
      <c r="J17" s="32"/>
      <c r="K17" s="34"/>
      <c r="L17" s="34"/>
      <c r="M17" s="34"/>
      <c r="N17" s="35"/>
      <c r="O17" s="32"/>
      <c r="P17" s="32"/>
      <c r="Q17" s="24" t="e">
        <f>VLOOKUP(H17,Validacion!B$4:C$202,2,FALSE)</f>
        <v>#N/A</v>
      </c>
      <c r="R17" s="25" t="e">
        <f>VLOOKUP(J17,Validacion!D$4:E$30,2,FALSE)</f>
        <v>#N/A</v>
      </c>
    </row>
    <row r="18" spans="2:18" x14ac:dyDescent="0.25">
      <c r="B18" s="18">
        <v>-1</v>
      </c>
      <c r="C18" s="20">
        <f t="shared" si="0"/>
        <v>6</v>
      </c>
      <c r="D18" s="32"/>
      <c r="E18" s="32"/>
      <c r="F18" s="32"/>
      <c r="G18" s="33"/>
      <c r="H18" s="34"/>
      <c r="I18" s="35"/>
      <c r="J18" s="32"/>
      <c r="K18" s="34"/>
      <c r="L18" s="34"/>
      <c r="M18" s="34"/>
      <c r="N18" s="35"/>
      <c r="O18" s="32"/>
      <c r="P18" s="32"/>
      <c r="Q18" s="24" t="e">
        <f>VLOOKUP(H18,Validacion!B$4:C$202,2,FALSE)</f>
        <v>#N/A</v>
      </c>
      <c r="R18" s="25" t="e">
        <f>VLOOKUP(J18,Validacion!D$4:E$30,2,FALSE)</f>
        <v>#N/A</v>
      </c>
    </row>
    <row r="19" spans="2:18" x14ac:dyDescent="0.25">
      <c r="B19" s="18">
        <v>-1</v>
      </c>
      <c r="C19" s="20">
        <f t="shared" si="0"/>
        <v>7</v>
      </c>
      <c r="D19" s="32"/>
      <c r="E19" s="32"/>
      <c r="F19" s="32"/>
      <c r="G19" s="33"/>
      <c r="H19" s="34"/>
      <c r="I19" s="35"/>
      <c r="J19" s="32"/>
      <c r="K19" s="34"/>
      <c r="L19" s="34"/>
      <c r="M19" s="34"/>
      <c r="N19" s="35"/>
      <c r="O19" s="32"/>
      <c r="P19" s="32"/>
      <c r="Q19" s="24" t="e">
        <f>VLOOKUP(H19,Validacion!B$4:C$202,2,FALSE)</f>
        <v>#N/A</v>
      </c>
      <c r="R19" s="25" t="e">
        <f>VLOOKUP(J19,Validacion!D$4:E$30,2,FALSE)</f>
        <v>#N/A</v>
      </c>
    </row>
    <row r="20" spans="2:18" x14ac:dyDescent="0.25">
      <c r="B20" s="18">
        <v>-1</v>
      </c>
      <c r="C20" s="20">
        <f t="shared" si="0"/>
        <v>8</v>
      </c>
      <c r="D20" s="32"/>
      <c r="E20" s="32"/>
      <c r="F20" s="32"/>
      <c r="G20" s="33"/>
      <c r="H20" s="34"/>
      <c r="I20" s="35"/>
      <c r="J20" s="32"/>
      <c r="K20" s="34"/>
      <c r="L20" s="34"/>
      <c r="M20" s="34"/>
      <c r="N20" s="35"/>
      <c r="O20" s="32"/>
      <c r="P20" s="32"/>
      <c r="Q20" s="24" t="e">
        <f>VLOOKUP(H20,Validacion!B$4:C$202,2,FALSE)</f>
        <v>#N/A</v>
      </c>
      <c r="R20" s="25" t="e">
        <f>VLOOKUP(J20,Validacion!D$4:E$30,2,FALSE)</f>
        <v>#N/A</v>
      </c>
    </row>
    <row r="21" spans="2:18" x14ac:dyDescent="0.25">
      <c r="B21" s="18">
        <v>-1</v>
      </c>
      <c r="C21" s="20">
        <f t="shared" si="0"/>
        <v>9</v>
      </c>
      <c r="D21" s="32"/>
      <c r="E21" s="32"/>
      <c r="F21" s="32"/>
      <c r="G21" s="33"/>
      <c r="H21" s="34"/>
      <c r="I21" s="35"/>
      <c r="J21" s="32"/>
      <c r="K21" s="34"/>
      <c r="L21" s="34"/>
      <c r="M21" s="34"/>
      <c r="N21" s="35"/>
      <c r="O21" s="32"/>
      <c r="P21" s="32"/>
      <c r="Q21" s="24" t="e">
        <f>VLOOKUP(H21,Validacion!B$4:C$202,2,FALSE)</f>
        <v>#N/A</v>
      </c>
      <c r="R21" s="25" t="e">
        <f>VLOOKUP(J21,Validacion!D$4:E$30,2,FALSE)</f>
        <v>#N/A</v>
      </c>
    </row>
    <row r="22" spans="2:18" x14ac:dyDescent="0.25">
      <c r="B22" s="18">
        <v>-1</v>
      </c>
      <c r="C22" s="20">
        <f t="shared" si="0"/>
        <v>10</v>
      </c>
      <c r="D22" s="32"/>
      <c r="E22" s="32"/>
      <c r="G22" s="33"/>
      <c r="H22" s="34"/>
      <c r="I22" s="35"/>
      <c r="J22" s="32"/>
      <c r="K22" s="34"/>
      <c r="L22" s="34"/>
      <c r="M22" s="34"/>
      <c r="N22" s="35"/>
      <c r="O22" s="32"/>
      <c r="P22" s="32"/>
      <c r="Q22" s="24" t="e">
        <f>VLOOKUP(H22,Validacion!B$4:C$202,2,FALSE)</f>
        <v>#N/A</v>
      </c>
      <c r="R22" s="25" t="e">
        <f>VLOOKUP(J22,Validacion!D$4:E$30,2,FALSE)</f>
        <v>#N/A</v>
      </c>
    </row>
    <row r="23" spans="2:18" x14ac:dyDescent="0.25">
      <c r="B23" s="18">
        <v>-1</v>
      </c>
      <c r="C23" s="20">
        <f t="shared" si="0"/>
        <v>11</v>
      </c>
      <c r="D23" s="32"/>
      <c r="E23" s="32"/>
      <c r="F23" s="32"/>
      <c r="G23" s="33"/>
      <c r="H23" s="34"/>
      <c r="I23" s="35"/>
      <c r="J23" s="32"/>
      <c r="K23" s="34"/>
      <c r="L23" s="34"/>
      <c r="M23" s="34"/>
      <c r="N23" s="35"/>
      <c r="O23" s="32"/>
      <c r="P23" s="32"/>
      <c r="Q23" s="24" t="e">
        <f>VLOOKUP(H23,Validacion!B$4:C$202,2,FALSE)</f>
        <v>#N/A</v>
      </c>
      <c r="R23" s="25" t="e">
        <f>VLOOKUP(J23,Validacion!D$4:E$30,2,FALSE)</f>
        <v>#N/A</v>
      </c>
    </row>
    <row r="24" spans="2:18" x14ac:dyDescent="0.25">
      <c r="B24" s="18">
        <v>-1</v>
      </c>
      <c r="C24" s="20">
        <f t="shared" si="0"/>
        <v>12</v>
      </c>
      <c r="D24" s="32"/>
      <c r="E24" s="32"/>
      <c r="F24" s="32"/>
      <c r="G24" s="33"/>
      <c r="H24" s="34"/>
      <c r="I24" s="35"/>
      <c r="J24" s="32"/>
      <c r="K24" s="34"/>
      <c r="L24" s="34"/>
      <c r="M24" s="34"/>
      <c r="N24" s="35"/>
      <c r="O24" s="32"/>
      <c r="P24" s="32"/>
      <c r="Q24" s="24" t="e">
        <f>VLOOKUP(H24,Validacion!B$4:C$202,2,FALSE)</f>
        <v>#N/A</v>
      </c>
      <c r="R24" s="25" t="e">
        <f>VLOOKUP(J24,Validacion!D$4:E$30,2,FALSE)</f>
        <v>#N/A</v>
      </c>
    </row>
    <row r="25" spans="2:18" x14ac:dyDescent="0.25">
      <c r="B25" s="18">
        <v>-1</v>
      </c>
      <c r="C25" s="20">
        <f t="shared" si="0"/>
        <v>13</v>
      </c>
      <c r="D25" s="32"/>
      <c r="E25" s="32"/>
      <c r="F25" s="32"/>
      <c r="G25" s="33"/>
      <c r="H25" s="34"/>
      <c r="I25" s="35"/>
      <c r="J25" s="32"/>
      <c r="K25" s="34"/>
      <c r="L25" s="34"/>
      <c r="M25" s="34"/>
      <c r="N25" s="35"/>
      <c r="O25" s="32"/>
      <c r="P25" s="32"/>
      <c r="Q25" s="24" t="e">
        <f>VLOOKUP(H25,Validacion!B$4:C$202,2,FALSE)</f>
        <v>#N/A</v>
      </c>
      <c r="R25" s="25" t="e">
        <f>VLOOKUP(J25,Validacion!D$4:E$30,2,FALSE)</f>
        <v>#N/A</v>
      </c>
    </row>
    <row r="26" spans="2:18" x14ac:dyDescent="0.25">
      <c r="B26" s="18">
        <v>-1</v>
      </c>
      <c r="C26" s="20">
        <f t="shared" si="0"/>
        <v>14</v>
      </c>
      <c r="D26" s="32"/>
      <c r="E26" s="32"/>
      <c r="F26" s="32"/>
      <c r="G26" s="33"/>
      <c r="H26" s="34"/>
      <c r="I26" s="35"/>
      <c r="J26" s="32"/>
      <c r="K26" s="34"/>
      <c r="L26" s="34"/>
      <c r="M26" s="34"/>
      <c r="N26" s="35"/>
      <c r="O26" s="32"/>
      <c r="P26" s="32"/>
      <c r="Q26" s="24" t="e">
        <f>VLOOKUP(H26,Validacion!B$4:C$202,2,FALSE)</f>
        <v>#N/A</v>
      </c>
      <c r="R26" s="25" t="e">
        <f>VLOOKUP(J26,Validacion!D$4:E$30,2,FALSE)</f>
        <v>#N/A</v>
      </c>
    </row>
    <row r="27" spans="2:18" x14ac:dyDescent="0.25">
      <c r="B27" s="18">
        <v>-1</v>
      </c>
      <c r="C27" s="20">
        <f t="shared" si="0"/>
        <v>15</v>
      </c>
      <c r="D27" s="32"/>
      <c r="E27" s="32"/>
      <c r="F27" s="32"/>
      <c r="G27" s="33"/>
      <c r="H27" s="34"/>
      <c r="I27" s="35"/>
      <c r="J27" s="32"/>
      <c r="K27" s="34"/>
      <c r="L27" s="34"/>
      <c r="M27" s="34"/>
      <c r="N27" s="35"/>
      <c r="O27" s="32"/>
      <c r="P27" s="32"/>
      <c r="Q27" s="24" t="e">
        <f>VLOOKUP(H27,Validacion!B$4:C$202,2,FALSE)</f>
        <v>#N/A</v>
      </c>
      <c r="R27" s="25" t="e">
        <f>VLOOKUP(J27,Validacion!D$4:E$30,2,FALSE)</f>
        <v>#N/A</v>
      </c>
    </row>
    <row r="28" spans="2:18" x14ac:dyDescent="0.25">
      <c r="B28" s="18">
        <v>-1</v>
      </c>
      <c r="C28" s="20">
        <f t="shared" si="0"/>
        <v>16</v>
      </c>
      <c r="D28" s="32"/>
      <c r="E28" s="32"/>
      <c r="F28" s="32"/>
      <c r="G28" s="33"/>
      <c r="H28" s="34"/>
      <c r="I28" s="35"/>
      <c r="J28" s="32"/>
      <c r="K28" s="34"/>
      <c r="L28" s="34"/>
      <c r="M28" s="34"/>
      <c r="N28" s="35"/>
      <c r="O28" s="32"/>
      <c r="P28" s="32"/>
      <c r="Q28" s="24" t="e">
        <f>VLOOKUP(H28,Validacion!B$4:C$202,2,FALSE)</f>
        <v>#N/A</v>
      </c>
      <c r="R28" s="25" t="e">
        <f>VLOOKUP(J28,Validacion!D$4:E$30,2,FALSE)</f>
        <v>#N/A</v>
      </c>
    </row>
    <row r="29" spans="2:18" x14ac:dyDescent="0.25">
      <c r="B29" s="18">
        <v>-1</v>
      </c>
      <c r="C29" s="20">
        <f t="shared" si="0"/>
        <v>17</v>
      </c>
      <c r="D29" s="32"/>
      <c r="E29" s="32"/>
      <c r="F29" s="32"/>
      <c r="G29" s="33"/>
      <c r="H29" s="34"/>
      <c r="I29" s="35"/>
      <c r="J29" s="32"/>
      <c r="K29" s="34"/>
      <c r="L29" s="34"/>
      <c r="M29" s="34"/>
      <c r="N29" s="35"/>
      <c r="O29" s="32"/>
      <c r="P29" s="32"/>
      <c r="Q29" s="24" t="e">
        <f>VLOOKUP(H29,Validacion!B$4:C$202,2,FALSE)</f>
        <v>#N/A</v>
      </c>
      <c r="R29" s="25" t="e">
        <f>VLOOKUP(J29,Validacion!D$4:E$30,2,FALSE)</f>
        <v>#N/A</v>
      </c>
    </row>
    <row r="30" spans="2:18" x14ac:dyDescent="0.25">
      <c r="B30" s="18">
        <v>-1</v>
      </c>
      <c r="C30" s="20">
        <f t="shared" si="0"/>
        <v>18</v>
      </c>
      <c r="D30" s="32"/>
      <c r="E30" s="32"/>
      <c r="F30" s="32"/>
      <c r="G30" s="33"/>
      <c r="H30" s="34"/>
      <c r="I30" s="35"/>
      <c r="J30" s="32"/>
      <c r="K30" s="34"/>
      <c r="L30" s="34"/>
      <c r="M30" s="34"/>
      <c r="N30" s="35"/>
      <c r="O30" s="32"/>
      <c r="P30" s="32"/>
      <c r="Q30" s="24" t="e">
        <f>VLOOKUP(H30,Validacion!B$4:C$202,2,FALSE)</f>
        <v>#N/A</v>
      </c>
      <c r="R30" s="25" t="e">
        <f>VLOOKUP(J30,Validacion!D$4:E$30,2,FALSE)</f>
        <v>#N/A</v>
      </c>
    </row>
    <row r="31" spans="2:18" x14ac:dyDescent="0.25">
      <c r="B31" s="18">
        <v>-1</v>
      </c>
      <c r="C31" s="20">
        <f t="shared" si="0"/>
        <v>19</v>
      </c>
      <c r="D31" s="32"/>
      <c r="E31" s="32"/>
      <c r="F31" s="32"/>
      <c r="G31" s="33"/>
      <c r="H31" s="34"/>
      <c r="I31" s="35"/>
      <c r="J31" s="32"/>
      <c r="K31" s="34"/>
      <c r="L31" s="34"/>
      <c r="M31" s="34"/>
      <c r="N31" s="35"/>
      <c r="O31" s="32"/>
      <c r="P31" s="32"/>
      <c r="Q31" s="24" t="e">
        <f>VLOOKUP(H31,Validacion!B$4:C$202,2,FALSE)</f>
        <v>#N/A</v>
      </c>
      <c r="R31" s="25" t="e">
        <f>VLOOKUP(J31,Validacion!D$4:E$30,2,FALSE)</f>
        <v>#N/A</v>
      </c>
    </row>
    <row r="32" spans="2:18" x14ac:dyDescent="0.25">
      <c r="B32" s="18">
        <v>-1</v>
      </c>
      <c r="C32" s="20">
        <f t="shared" si="0"/>
        <v>20</v>
      </c>
      <c r="D32" s="32"/>
      <c r="E32" s="32"/>
      <c r="F32" s="32"/>
      <c r="G32" s="33"/>
      <c r="H32" s="34"/>
      <c r="I32" s="35"/>
      <c r="J32" s="32"/>
      <c r="K32" s="34"/>
      <c r="L32" s="34"/>
      <c r="M32" s="34"/>
      <c r="N32" s="35"/>
      <c r="O32" s="32"/>
      <c r="P32" s="32"/>
      <c r="Q32" s="24" t="e">
        <f>VLOOKUP(H32,Validacion!B$4:C$202,2,FALSE)</f>
        <v>#N/A</v>
      </c>
      <c r="R32" s="25" t="e">
        <f>VLOOKUP(J32,Validacion!D$4:E$30,2,FALSE)</f>
        <v>#N/A</v>
      </c>
    </row>
    <row r="33" spans="2:18" x14ac:dyDescent="0.25">
      <c r="B33" s="18">
        <v>-1</v>
      </c>
      <c r="C33" s="20">
        <f t="shared" si="0"/>
        <v>21</v>
      </c>
      <c r="D33" s="32"/>
      <c r="E33" s="32"/>
      <c r="F33" s="32"/>
      <c r="G33" s="33"/>
      <c r="H33" s="34"/>
      <c r="I33" s="35"/>
      <c r="J33" s="32"/>
      <c r="K33" s="34"/>
      <c r="L33" s="34"/>
      <c r="M33" s="34"/>
      <c r="N33" s="35"/>
      <c r="O33" s="32"/>
      <c r="P33" s="32"/>
      <c r="Q33" s="24" t="e">
        <f>VLOOKUP(H33,Validacion!B$4:C$202,2,FALSE)</f>
        <v>#N/A</v>
      </c>
      <c r="R33" s="25" t="e">
        <f>VLOOKUP(J33,Validacion!D$4:E$30,2,FALSE)</f>
        <v>#N/A</v>
      </c>
    </row>
    <row r="34" spans="2:18" x14ac:dyDescent="0.25">
      <c r="B34" s="18">
        <v>-1</v>
      </c>
      <c r="C34" s="20">
        <f t="shared" si="0"/>
        <v>22</v>
      </c>
      <c r="D34" s="32"/>
      <c r="E34" s="32"/>
      <c r="F34" s="32"/>
      <c r="G34" s="33"/>
      <c r="H34" s="34"/>
      <c r="I34" s="35"/>
      <c r="J34" s="32"/>
      <c r="K34" s="34"/>
      <c r="L34" s="34"/>
      <c r="M34" s="34"/>
      <c r="N34" s="35"/>
      <c r="O34" s="32"/>
      <c r="P34" s="32"/>
      <c r="Q34" s="24" t="e">
        <f>VLOOKUP(H34,Validacion!B$4:C$202,2,FALSE)</f>
        <v>#N/A</v>
      </c>
      <c r="R34" s="25" t="e">
        <f>VLOOKUP(J34,Validacion!D$4:E$30,2,FALSE)</f>
        <v>#N/A</v>
      </c>
    </row>
    <row r="35" spans="2:18" x14ac:dyDescent="0.25">
      <c r="B35" s="18">
        <v>-1</v>
      </c>
      <c r="C35" s="20">
        <f t="shared" si="0"/>
        <v>23</v>
      </c>
      <c r="D35" s="32"/>
      <c r="E35" s="32"/>
      <c r="F35" s="32"/>
      <c r="G35" s="33"/>
      <c r="H35" s="34"/>
      <c r="I35" s="35"/>
      <c r="J35" s="32"/>
      <c r="K35" s="34"/>
      <c r="L35" s="34"/>
      <c r="M35" s="34"/>
      <c r="N35" s="35"/>
      <c r="O35" s="32"/>
      <c r="P35" s="32"/>
      <c r="Q35" s="24" t="e">
        <f>VLOOKUP(H35,Validacion!B$4:C$202,2,FALSE)</f>
        <v>#N/A</v>
      </c>
      <c r="R35" s="25" t="e">
        <f>VLOOKUP(J35,Validacion!D$4:E$30,2,FALSE)</f>
        <v>#N/A</v>
      </c>
    </row>
    <row r="36" spans="2:18" x14ac:dyDescent="0.25">
      <c r="B36" s="18">
        <v>-1</v>
      </c>
      <c r="C36" s="20">
        <f t="shared" si="0"/>
        <v>24</v>
      </c>
      <c r="D36" s="32"/>
      <c r="E36" s="32"/>
      <c r="F36" s="32"/>
      <c r="G36" s="33"/>
      <c r="H36" s="34"/>
      <c r="I36" s="35"/>
      <c r="J36" s="32"/>
      <c r="K36" s="34"/>
      <c r="L36" s="34"/>
      <c r="M36" s="34"/>
      <c r="N36" s="35"/>
      <c r="O36" s="32"/>
      <c r="P36" s="32"/>
      <c r="Q36" s="24" t="e">
        <f>VLOOKUP(H36,Validacion!B$4:C$202,2,FALSE)</f>
        <v>#N/A</v>
      </c>
      <c r="R36" s="25" t="e">
        <f>VLOOKUP(J36,Validacion!D$4:E$30,2,FALSE)</f>
        <v>#N/A</v>
      </c>
    </row>
    <row r="37" spans="2:18" x14ac:dyDescent="0.25">
      <c r="B37" s="18">
        <v>-1</v>
      </c>
      <c r="C37" s="20">
        <f t="shared" si="0"/>
        <v>25</v>
      </c>
      <c r="D37" s="32"/>
      <c r="E37" s="32"/>
      <c r="F37" s="32"/>
      <c r="G37" s="33"/>
      <c r="H37" s="34"/>
      <c r="I37" s="35"/>
      <c r="J37" s="32"/>
      <c r="K37" s="34"/>
      <c r="L37" s="34"/>
      <c r="M37" s="34"/>
      <c r="N37" s="35"/>
      <c r="O37" s="32"/>
      <c r="P37" s="32"/>
      <c r="Q37" s="24" t="e">
        <f>VLOOKUP(H37,Validacion!B$4:C$202,2,FALSE)</f>
        <v>#N/A</v>
      </c>
      <c r="R37" s="25" t="e">
        <f>VLOOKUP(J37,Validacion!D$4:E$30,2,FALSE)</f>
        <v>#N/A</v>
      </c>
    </row>
    <row r="38" spans="2:18" x14ac:dyDescent="0.25">
      <c r="B38" s="18">
        <v>-1</v>
      </c>
      <c r="C38" s="20">
        <f t="shared" si="0"/>
        <v>26</v>
      </c>
      <c r="D38" s="32"/>
      <c r="E38" s="32"/>
      <c r="F38" s="32"/>
      <c r="G38" s="33"/>
      <c r="H38" s="34"/>
      <c r="I38" s="35"/>
      <c r="J38" s="32"/>
      <c r="K38" s="34"/>
      <c r="L38" s="34"/>
      <c r="M38" s="34"/>
      <c r="N38" s="35"/>
      <c r="O38" s="32"/>
      <c r="P38" s="32"/>
      <c r="Q38" s="24" t="e">
        <f>VLOOKUP(H38,Validacion!B$4:C$202,2,FALSE)</f>
        <v>#N/A</v>
      </c>
      <c r="R38" s="25" t="e">
        <f>VLOOKUP(J38,Validacion!D$4:E$30,2,FALSE)</f>
        <v>#N/A</v>
      </c>
    </row>
    <row r="39" spans="2:18" x14ac:dyDescent="0.25">
      <c r="B39" s="18">
        <v>-1</v>
      </c>
      <c r="C39" s="20">
        <f t="shared" si="0"/>
        <v>27</v>
      </c>
      <c r="D39" s="32"/>
      <c r="E39" s="32"/>
      <c r="F39" s="32"/>
      <c r="G39" s="33"/>
      <c r="H39" s="34"/>
      <c r="I39" s="35"/>
      <c r="J39" s="32"/>
      <c r="K39" s="34"/>
      <c r="L39" s="34"/>
      <c r="M39" s="34"/>
      <c r="N39" s="35"/>
      <c r="O39" s="32"/>
      <c r="P39" s="32"/>
      <c r="Q39" s="24" t="e">
        <f>VLOOKUP(H39,Validacion!B$4:C$202,2,FALSE)</f>
        <v>#N/A</v>
      </c>
      <c r="R39" s="25" t="e">
        <f>VLOOKUP(J39,Validacion!D$4:E$30,2,FALSE)</f>
        <v>#N/A</v>
      </c>
    </row>
    <row r="40" spans="2:18" x14ac:dyDescent="0.25">
      <c r="B40" s="18">
        <v>-1</v>
      </c>
      <c r="C40" s="20">
        <f t="shared" si="0"/>
        <v>28</v>
      </c>
      <c r="D40" s="32"/>
      <c r="E40" s="32"/>
      <c r="F40" s="32"/>
      <c r="G40" s="33"/>
      <c r="H40" s="34"/>
      <c r="I40" s="35"/>
      <c r="J40" s="32"/>
      <c r="K40" s="34"/>
      <c r="L40" s="34"/>
      <c r="M40" s="34"/>
      <c r="N40" s="35"/>
      <c r="O40" s="32"/>
      <c r="P40" s="32"/>
      <c r="Q40" s="24" t="e">
        <f>VLOOKUP(H40,Validacion!B$4:C$202,2,FALSE)</f>
        <v>#N/A</v>
      </c>
      <c r="R40" s="25" t="e">
        <f>VLOOKUP(J40,Validacion!D$4:E$30,2,FALSE)</f>
        <v>#N/A</v>
      </c>
    </row>
    <row r="41" spans="2:18" x14ac:dyDescent="0.25">
      <c r="B41" s="18">
        <v>-1</v>
      </c>
      <c r="C41" s="20">
        <f t="shared" si="0"/>
        <v>29</v>
      </c>
      <c r="D41" s="32"/>
      <c r="E41" s="32"/>
      <c r="F41" s="32"/>
      <c r="G41" s="33"/>
      <c r="H41" s="34"/>
      <c r="I41" s="35"/>
      <c r="J41" s="32"/>
      <c r="K41" s="34"/>
      <c r="L41" s="34"/>
      <c r="M41" s="34"/>
      <c r="N41" s="35"/>
      <c r="O41" s="32"/>
      <c r="P41" s="32"/>
      <c r="Q41" s="24" t="e">
        <f>VLOOKUP(H41,Validacion!B$4:C$202,2,FALSE)</f>
        <v>#N/A</v>
      </c>
      <c r="R41" s="25" t="e">
        <f>VLOOKUP(J41,Validacion!D$4:E$30,2,FALSE)</f>
        <v>#N/A</v>
      </c>
    </row>
    <row r="42" spans="2:18" x14ac:dyDescent="0.25">
      <c r="B42" s="18">
        <v>-1</v>
      </c>
      <c r="C42" s="20">
        <f t="shared" si="0"/>
        <v>30</v>
      </c>
      <c r="D42" s="32"/>
      <c r="E42" s="32"/>
      <c r="F42" s="32"/>
      <c r="G42" s="33"/>
      <c r="H42" s="34"/>
      <c r="I42" s="35"/>
      <c r="J42" s="32"/>
      <c r="K42" s="34"/>
      <c r="L42" s="34"/>
      <c r="M42" s="34"/>
      <c r="N42" s="35"/>
      <c r="O42" s="32"/>
      <c r="P42" s="32"/>
      <c r="Q42" s="24" t="e">
        <f>VLOOKUP(H42,Validacion!B$4:C$202,2,FALSE)</f>
        <v>#N/A</v>
      </c>
      <c r="R42" s="25" t="e">
        <f>VLOOKUP(J42,Validacion!D$4:E$30,2,FALSE)</f>
        <v>#N/A</v>
      </c>
    </row>
    <row r="43" spans="2:18" x14ac:dyDescent="0.25">
      <c r="B43" s="18">
        <v>-1</v>
      </c>
      <c r="C43" s="20">
        <f t="shared" si="0"/>
        <v>31</v>
      </c>
      <c r="D43" s="32"/>
      <c r="E43" s="32"/>
      <c r="F43" s="32"/>
      <c r="G43" s="33"/>
      <c r="H43" s="34"/>
      <c r="I43" s="35"/>
      <c r="J43" s="32"/>
      <c r="K43" s="34"/>
      <c r="L43" s="34"/>
      <c r="M43" s="34"/>
      <c r="N43" s="35"/>
      <c r="O43" s="32"/>
      <c r="P43" s="32"/>
      <c r="Q43" s="24" t="e">
        <f>VLOOKUP(H43,Validacion!B$4:C$202,2,FALSE)</f>
        <v>#N/A</v>
      </c>
      <c r="R43" s="25" t="e">
        <f>VLOOKUP(J43,Validacion!D$4:E$30,2,FALSE)</f>
        <v>#N/A</v>
      </c>
    </row>
    <row r="44" spans="2:18" x14ac:dyDescent="0.25">
      <c r="B44" s="18">
        <v>-1</v>
      </c>
      <c r="C44" s="20">
        <f t="shared" si="0"/>
        <v>32</v>
      </c>
      <c r="D44" s="32"/>
      <c r="E44" s="32"/>
      <c r="F44" s="32"/>
      <c r="G44" s="33"/>
      <c r="H44" s="34"/>
      <c r="I44" s="35"/>
      <c r="J44" s="32"/>
      <c r="K44" s="34"/>
      <c r="L44" s="34"/>
      <c r="M44" s="34"/>
      <c r="N44" s="35"/>
      <c r="O44" s="32"/>
      <c r="P44" s="32"/>
      <c r="Q44" s="24" t="e">
        <f>VLOOKUP(H44,Validacion!B$4:C$202,2,FALSE)</f>
        <v>#N/A</v>
      </c>
      <c r="R44" s="25" t="e">
        <f>VLOOKUP(J44,Validacion!D$4:E$30,2,FALSE)</f>
        <v>#N/A</v>
      </c>
    </row>
    <row r="45" spans="2:18" x14ac:dyDescent="0.25">
      <c r="B45" s="18">
        <v>-1</v>
      </c>
      <c r="C45" s="20">
        <f t="shared" si="0"/>
        <v>33</v>
      </c>
      <c r="D45" s="32"/>
      <c r="E45" s="32"/>
      <c r="F45" s="32"/>
      <c r="G45" s="33"/>
      <c r="H45" s="34"/>
      <c r="I45" s="35"/>
      <c r="J45" s="32"/>
      <c r="K45" s="34"/>
      <c r="L45" s="34"/>
      <c r="M45" s="34"/>
      <c r="N45" s="35"/>
      <c r="O45" s="32"/>
      <c r="P45" s="32"/>
      <c r="Q45" s="24" t="e">
        <f>VLOOKUP(H45,Validacion!B$4:C$202,2,FALSE)</f>
        <v>#N/A</v>
      </c>
      <c r="R45" s="25" t="e">
        <f>VLOOKUP(J45,Validacion!D$4:E$30,2,FALSE)</f>
        <v>#N/A</v>
      </c>
    </row>
    <row r="46" spans="2:18" x14ac:dyDescent="0.25">
      <c r="B46" s="18">
        <v>-1</v>
      </c>
      <c r="C46" s="20">
        <f t="shared" si="0"/>
        <v>34</v>
      </c>
      <c r="D46" s="32"/>
      <c r="E46" s="32"/>
      <c r="F46" s="32"/>
      <c r="G46" s="33"/>
      <c r="H46" s="34"/>
      <c r="I46" s="35"/>
      <c r="J46" s="32"/>
      <c r="K46" s="34"/>
      <c r="L46" s="34"/>
      <c r="M46" s="34"/>
      <c r="N46" s="35"/>
      <c r="O46" s="32"/>
      <c r="P46" s="32"/>
      <c r="Q46" s="24" t="e">
        <f>VLOOKUP(H46,Validacion!B$4:C$202,2,FALSE)</f>
        <v>#N/A</v>
      </c>
      <c r="R46" s="25" t="e">
        <f>VLOOKUP(J46,Validacion!D$4:E$30,2,FALSE)</f>
        <v>#N/A</v>
      </c>
    </row>
    <row r="47" spans="2:18" x14ac:dyDescent="0.25">
      <c r="B47" s="18">
        <v>-1</v>
      </c>
      <c r="C47" s="20">
        <f t="shared" si="0"/>
        <v>35</v>
      </c>
      <c r="D47" s="32"/>
      <c r="E47" s="32"/>
      <c r="F47" s="32"/>
      <c r="G47" s="33"/>
      <c r="H47" s="34"/>
      <c r="I47" s="35"/>
      <c r="J47" s="32"/>
      <c r="K47" s="34"/>
      <c r="L47" s="34"/>
      <c r="M47" s="34"/>
      <c r="N47" s="35"/>
      <c r="O47" s="32"/>
      <c r="P47" s="32"/>
      <c r="Q47" s="24" t="e">
        <f>VLOOKUP(H47,Validacion!B$4:C$202,2,FALSE)</f>
        <v>#N/A</v>
      </c>
      <c r="R47" s="25" t="e">
        <f>VLOOKUP(J47,Validacion!D$4:E$30,2,FALSE)</f>
        <v>#N/A</v>
      </c>
    </row>
    <row r="48" spans="2:18" x14ac:dyDescent="0.25">
      <c r="B48" s="18">
        <v>-1</v>
      </c>
      <c r="C48" s="20">
        <f t="shared" si="0"/>
        <v>36</v>
      </c>
      <c r="D48" s="32"/>
      <c r="E48" s="32"/>
      <c r="F48" s="32"/>
      <c r="G48" s="33"/>
      <c r="H48" s="34"/>
      <c r="I48" s="35"/>
      <c r="J48" s="32"/>
      <c r="K48" s="34"/>
      <c r="L48" s="34"/>
      <c r="M48" s="34"/>
      <c r="N48" s="35"/>
      <c r="O48" s="32"/>
      <c r="P48" s="32"/>
      <c r="Q48" s="24" t="e">
        <f>VLOOKUP(H48,Validacion!B$4:C$202,2,FALSE)</f>
        <v>#N/A</v>
      </c>
      <c r="R48" s="25" t="e">
        <f>VLOOKUP(J48,Validacion!D$4:E$30,2,FALSE)</f>
        <v>#N/A</v>
      </c>
    </row>
    <row r="49" spans="2:18" x14ac:dyDescent="0.25">
      <c r="B49" s="18">
        <v>-1</v>
      </c>
      <c r="C49" s="20">
        <f t="shared" si="0"/>
        <v>37</v>
      </c>
      <c r="D49" s="32"/>
      <c r="E49" s="32"/>
      <c r="F49" s="32"/>
      <c r="G49" s="33"/>
      <c r="H49" s="34"/>
      <c r="I49" s="35"/>
      <c r="J49" s="32"/>
      <c r="K49" s="34"/>
      <c r="L49" s="34"/>
      <c r="M49" s="34"/>
      <c r="N49" s="35"/>
      <c r="O49" s="32"/>
      <c r="P49" s="32"/>
      <c r="Q49" s="24" t="e">
        <f>VLOOKUP(H49,Validacion!B$4:C$202,2,FALSE)</f>
        <v>#N/A</v>
      </c>
      <c r="R49" s="25" t="e">
        <f>VLOOKUP(J49,Validacion!D$4:E$30,2,FALSE)</f>
        <v>#N/A</v>
      </c>
    </row>
    <row r="50" spans="2:18" x14ac:dyDescent="0.25">
      <c r="B50" s="18">
        <v>-1</v>
      </c>
      <c r="C50" s="20">
        <f t="shared" si="0"/>
        <v>38</v>
      </c>
      <c r="D50" s="32"/>
      <c r="E50" s="32"/>
      <c r="F50" s="32"/>
      <c r="G50" s="33"/>
      <c r="H50" s="34"/>
      <c r="I50" s="35"/>
      <c r="J50" s="32"/>
      <c r="K50" s="34"/>
      <c r="L50" s="34"/>
      <c r="M50" s="34"/>
      <c r="N50" s="35"/>
      <c r="O50" s="32"/>
      <c r="P50" s="32"/>
      <c r="Q50" s="24" t="e">
        <f>VLOOKUP(H50,Validacion!B$4:C$202,2,FALSE)</f>
        <v>#N/A</v>
      </c>
      <c r="R50" s="25" t="e">
        <f>VLOOKUP(J50,Validacion!D$4:E$30,2,FALSE)</f>
        <v>#N/A</v>
      </c>
    </row>
    <row r="51" spans="2:18" x14ac:dyDescent="0.25">
      <c r="B51" s="18">
        <v>-1</v>
      </c>
      <c r="C51" s="20">
        <f t="shared" si="0"/>
        <v>39</v>
      </c>
      <c r="D51" s="32"/>
      <c r="E51" s="32"/>
      <c r="F51" s="32"/>
      <c r="G51" s="33"/>
      <c r="H51" s="34"/>
      <c r="I51" s="35"/>
      <c r="J51" s="32"/>
      <c r="K51" s="34"/>
      <c r="L51" s="34"/>
      <c r="M51" s="34"/>
      <c r="N51" s="35"/>
      <c r="O51" s="32"/>
      <c r="P51" s="32"/>
      <c r="Q51" s="24" t="e">
        <f>VLOOKUP(H51,Validacion!B$4:C$202,2,FALSE)</f>
        <v>#N/A</v>
      </c>
      <c r="R51" s="25" t="e">
        <f>VLOOKUP(J51,Validacion!D$4:E$30,2,FALSE)</f>
        <v>#N/A</v>
      </c>
    </row>
    <row r="52" spans="2:18" x14ac:dyDescent="0.25">
      <c r="B52" s="18">
        <v>-1</v>
      </c>
      <c r="C52" s="20">
        <f t="shared" si="0"/>
        <v>40</v>
      </c>
      <c r="D52" s="32"/>
      <c r="E52" s="32"/>
      <c r="F52" s="32"/>
      <c r="G52" s="33"/>
      <c r="H52" s="34"/>
      <c r="I52" s="35"/>
      <c r="J52" s="32"/>
      <c r="K52" s="34"/>
      <c r="L52" s="34"/>
      <c r="M52" s="34"/>
      <c r="N52" s="35"/>
      <c r="O52" s="32"/>
      <c r="P52" s="32"/>
      <c r="Q52" s="24" t="e">
        <f>VLOOKUP(H52,Validacion!B$4:C$202,2,FALSE)</f>
        <v>#N/A</v>
      </c>
      <c r="R52" s="25" t="e">
        <f>VLOOKUP(J52,Validacion!D$4:E$30,2,FALSE)</f>
        <v>#N/A</v>
      </c>
    </row>
    <row r="53" spans="2:18" x14ac:dyDescent="0.25">
      <c r="B53" s="18">
        <v>-1</v>
      </c>
      <c r="C53" s="20">
        <f t="shared" si="0"/>
        <v>41</v>
      </c>
      <c r="D53" s="32"/>
      <c r="E53" s="32"/>
      <c r="F53" s="32"/>
      <c r="G53" s="33"/>
      <c r="H53" s="34"/>
      <c r="I53" s="35"/>
      <c r="J53" s="32"/>
      <c r="K53" s="34"/>
      <c r="L53" s="34"/>
      <c r="M53" s="34"/>
      <c r="N53" s="35"/>
      <c r="O53" s="32"/>
      <c r="P53" s="32"/>
      <c r="Q53" s="24" t="e">
        <f>VLOOKUP(H53,Validacion!B$4:C$202,2,FALSE)</f>
        <v>#N/A</v>
      </c>
      <c r="R53" s="25" t="e">
        <f>VLOOKUP(J53,Validacion!D$4:E$30,2,FALSE)</f>
        <v>#N/A</v>
      </c>
    </row>
    <row r="54" spans="2:18" x14ac:dyDescent="0.25">
      <c r="B54" s="18">
        <v>-1</v>
      </c>
      <c r="C54" s="20">
        <f t="shared" si="0"/>
        <v>42</v>
      </c>
      <c r="D54" s="32"/>
      <c r="E54" s="32"/>
      <c r="F54" s="32"/>
      <c r="G54" s="33"/>
      <c r="H54" s="34"/>
      <c r="I54" s="35"/>
      <c r="J54" s="32"/>
      <c r="K54" s="34"/>
      <c r="L54" s="34"/>
      <c r="M54" s="34"/>
      <c r="N54" s="35"/>
      <c r="O54" s="32"/>
      <c r="P54" s="32"/>
      <c r="Q54" s="24" t="e">
        <f>VLOOKUP(H54,Validacion!B$4:C$202,2,FALSE)</f>
        <v>#N/A</v>
      </c>
      <c r="R54" s="25" t="e">
        <f>VLOOKUP(J54,Validacion!D$4:E$30,2,FALSE)</f>
        <v>#N/A</v>
      </c>
    </row>
    <row r="55" spans="2:18" x14ac:dyDescent="0.25">
      <c r="B55" s="18">
        <v>-1</v>
      </c>
      <c r="C55" s="20">
        <f t="shared" si="0"/>
        <v>43</v>
      </c>
      <c r="D55" s="32"/>
      <c r="E55" s="32"/>
      <c r="F55" s="32"/>
      <c r="G55" s="33"/>
      <c r="H55" s="34"/>
      <c r="I55" s="35"/>
      <c r="J55" s="32"/>
      <c r="K55" s="34"/>
      <c r="L55" s="34"/>
      <c r="M55" s="34"/>
      <c r="N55" s="35"/>
      <c r="O55" s="32"/>
      <c r="P55" s="32"/>
      <c r="Q55" s="24" t="e">
        <f>VLOOKUP(H55,Validacion!B$4:C$202,2,FALSE)</f>
        <v>#N/A</v>
      </c>
      <c r="R55" s="25" t="e">
        <f>VLOOKUP(J55,Validacion!D$4:E$30,2,FALSE)</f>
        <v>#N/A</v>
      </c>
    </row>
    <row r="56" spans="2:18" x14ac:dyDescent="0.25">
      <c r="B56" s="18">
        <v>-1</v>
      </c>
      <c r="C56" s="20">
        <f t="shared" si="0"/>
        <v>44</v>
      </c>
      <c r="D56" s="32"/>
      <c r="E56" s="32"/>
      <c r="F56" s="32"/>
      <c r="G56" s="33"/>
      <c r="H56" s="34"/>
      <c r="I56" s="35"/>
      <c r="J56" s="32"/>
      <c r="K56" s="34"/>
      <c r="L56" s="34"/>
      <c r="M56" s="34"/>
      <c r="N56" s="35"/>
      <c r="O56" s="32"/>
      <c r="P56" s="32"/>
      <c r="Q56" s="24" t="e">
        <f>VLOOKUP(H56,Validacion!B$4:C$202,2,FALSE)</f>
        <v>#N/A</v>
      </c>
      <c r="R56" s="25" t="e">
        <f>VLOOKUP(J56,Validacion!D$4:E$30,2,FALSE)</f>
        <v>#N/A</v>
      </c>
    </row>
    <row r="57" spans="2:18" x14ac:dyDescent="0.25">
      <c r="B57" s="18">
        <v>-1</v>
      </c>
      <c r="C57" s="20">
        <f t="shared" si="0"/>
        <v>45</v>
      </c>
      <c r="D57" s="32"/>
      <c r="E57" s="32"/>
      <c r="F57" s="32"/>
      <c r="G57" s="33"/>
      <c r="H57" s="34"/>
      <c r="I57" s="35"/>
      <c r="J57" s="32"/>
      <c r="K57" s="34"/>
      <c r="L57" s="34"/>
      <c r="M57" s="34"/>
      <c r="N57" s="35"/>
      <c r="O57" s="32"/>
      <c r="P57" s="32"/>
      <c r="Q57" s="24" t="e">
        <f>VLOOKUP(H57,Validacion!B$4:C$202,2,FALSE)</f>
        <v>#N/A</v>
      </c>
      <c r="R57" s="25" t="e">
        <f>VLOOKUP(J57,Validacion!D$4:E$30,2,FALSE)</f>
        <v>#N/A</v>
      </c>
    </row>
    <row r="58" spans="2:18" x14ac:dyDescent="0.25">
      <c r="B58" s="18">
        <v>-1</v>
      </c>
      <c r="C58" s="20">
        <f t="shared" si="0"/>
        <v>46</v>
      </c>
      <c r="D58" s="32"/>
      <c r="E58" s="32"/>
      <c r="F58" s="32"/>
      <c r="G58" s="33"/>
      <c r="H58" s="34"/>
      <c r="I58" s="35"/>
      <c r="J58" s="32"/>
      <c r="K58" s="34"/>
      <c r="L58" s="34"/>
      <c r="M58" s="34"/>
      <c r="N58" s="35"/>
      <c r="O58" s="32"/>
      <c r="P58" s="32"/>
      <c r="Q58" s="24" t="e">
        <f>VLOOKUP(H58,Validacion!B$4:C$202,2,FALSE)</f>
        <v>#N/A</v>
      </c>
      <c r="R58" s="25" t="e">
        <f>VLOOKUP(J58,Validacion!D$4:E$30,2,FALSE)</f>
        <v>#N/A</v>
      </c>
    </row>
    <row r="59" spans="2:18" x14ac:dyDescent="0.25">
      <c r="B59" s="18">
        <v>-1</v>
      </c>
      <c r="C59" s="20">
        <f t="shared" si="0"/>
        <v>47</v>
      </c>
      <c r="D59" s="32"/>
      <c r="E59" s="32"/>
      <c r="F59" s="32"/>
      <c r="G59" s="33"/>
      <c r="H59" s="34"/>
      <c r="I59" s="35"/>
      <c r="J59" s="32"/>
      <c r="K59" s="34"/>
      <c r="L59" s="34"/>
      <c r="M59" s="34"/>
      <c r="N59" s="35"/>
      <c r="O59" s="32"/>
      <c r="P59" s="32"/>
      <c r="Q59" s="24" t="e">
        <f>VLOOKUP(H59,Validacion!B$4:C$202,2,FALSE)</f>
        <v>#N/A</v>
      </c>
      <c r="R59" s="25" t="e">
        <f>VLOOKUP(J59,Validacion!D$4:E$30,2,FALSE)</f>
        <v>#N/A</v>
      </c>
    </row>
    <row r="60" spans="2:18" x14ac:dyDescent="0.25">
      <c r="B60" s="18">
        <v>-1</v>
      </c>
      <c r="C60" s="20">
        <f t="shared" si="0"/>
        <v>48</v>
      </c>
      <c r="D60" s="32"/>
      <c r="E60" s="32"/>
      <c r="F60" s="32"/>
      <c r="G60" s="33"/>
      <c r="H60" s="34"/>
      <c r="I60" s="35"/>
      <c r="J60" s="32"/>
      <c r="K60" s="34"/>
      <c r="L60" s="34"/>
      <c r="M60" s="34"/>
      <c r="N60" s="35"/>
      <c r="O60" s="32"/>
      <c r="P60" s="32"/>
      <c r="Q60" s="24" t="e">
        <f>VLOOKUP(H60,Validacion!B$4:C$202,2,FALSE)</f>
        <v>#N/A</v>
      </c>
      <c r="R60" s="25" t="e">
        <f>VLOOKUP(J60,Validacion!D$4:E$30,2,FALSE)</f>
        <v>#N/A</v>
      </c>
    </row>
    <row r="61" spans="2:18" x14ac:dyDescent="0.25">
      <c r="B61" s="18">
        <v>-1</v>
      </c>
      <c r="C61" s="20">
        <f t="shared" si="0"/>
        <v>49</v>
      </c>
      <c r="D61" s="32"/>
      <c r="E61" s="32"/>
      <c r="F61" s="32"/>
      <c r="G61" s="33"/>
      <c r="H61" s="34"/>
      <c r="I61" s="35"/>
      <c r="J61" s="32"/>
      <c r="K61" s="34"/>
      <c r="L61" s="34"/>
      <c r="M61" s="34"/>
      <c r="N61" s="35"/>
      <c r="O61" s="32"/>
      <c r="P61" s="32"/>
      <c r="Q61" s="24" t="e">
        <f>VLOOKUP(H61,Validacion!B$4:C$202,2,FALSE)</f>
        <v>#N/A</v>
      </c>
      <c r="R61" s="25" t="e">
        <f>VLOOKUP(J61,Validacion!D$4:E$30,2,FALSE)</f>
        <v>#N/A</v>
      </c>
    </row>
    <row r="62" spans="2:18" x14ac:dyDescent="0.25">
      <c r="B62" s="18">
        <v>-1</v>
      </c>
      <c r="C62" s="20">
        <f t="shared" si="0"/>
        <v>50</v>
      </c>
      <c r="D62" s="32"/>
      <c r="E62" s="32"/>
      <c r="F62" s="32"/>
      <c r="G62" s="33"/>
      <c r="H62" s="34"/>
      <c r="I62" s="35"/>
      <c r="J62" s="32"/>
      <c r="K62" s="34"/>
      <c r="L62" s="34"/>
      <c r="M62" s="34"/>
      <c r="N62" s="35"/>
      <c r="O62" s="32"/>
      <c r="P62" s="32"/>
      <c r="Q62" s="24" t="e">
        <f>VLOOKUP(H62,Validacion!B$4:C$202,2,FALSE)</f>
        <v>#N/A</v>
      </c>
      <c r="R62" s="25" t="e">
        <f>VLOOKUP(J62,Validacion!D$4:E$30,2,FALSE)</f>
        <v>#N/A</v>
      </c>
    </row>
    <row r="63" spans="2:18" x14ac:dyDescent="0.25">
      <c r="B63" s="18">
        <v>-1</v>
      </c>
      <c r="C63" s="20">
        <f t="shared" si="0"/>
        <v>51</v>
      </c>
      <c r="D63" s="32"/>
      <c r="E63" s="32"/>
      <c r="F63" s="32"/>
      <c r="G63" s="33"/>
      <c r="H63" s="34"/>
      <c r="I63" s="35"/>
      <c r="J63" s="32"/>
      <c r="K63" s="34"/>
      <c r="L63" s="34"/>
      <c r="M63" s="34"/>
      <c r="N63" s="35"/>
      <c r="O63" s="32"/>
      <c r="P63" s="32"/>
      <c r="Q63" s="24" t="e">
        <f>VLOOKUP(H63,Validacion!B$4:C$202,2,FALSE)</f>
        <v>#N/A</v>
      </c>
      <c r="R63" s="25" t="e">
        <f>VLOOKUP(J63,Validacion!D$4:E$30,2,FALSE)</f>
        <v>#N/A</v>
      </c>
    </row>
    <row r="64" spans="2:18" x14ac:dyDescent="0.25">
      <c r="B64" s="18">
        <v>-1</v>
      </c>
      <c r="C64" s="20">
        <f t="shared" si="0"/>
        <v>52</v>
      </c>
      <c r="D64" s="32"/>
      <c r="E64" s="32"/>
      <c r="F64" s="32"/>
      <c r="G64" s="33"/>
      <c r="H64" s="34"/>
      <c r="I64" s="35"/>
      <c r="J64" s="32"/>
      <c r="K64" s="34"/>
      <c r="L64" s="34"/>
      <c r="M64" s="34"/>
      <c r="N64" s="35"/>
      <c r="O64" s="32"/>
      <c r="P64" s="32"/>
      <c r="Q64" s="24" t="e">
        <f>VLOOKUP(H64,Validacion!B$4:C$202,2,FALSE)</f>
        <v>#N/A</v>
      </c>
      <c r="R64" s="25" t="e">
        <f>VLOOKUP(J64,Validacion!D$4:E$30,2,FALSE)</f>
        <v>#N/A</v>
      </c>
    </row>
    <row r="65" spans="2:18" x14ac:dyDescent="0.25">
      <c r="B65" s="18">
        <v>-1</v>
      </c>
      <c r="C65" s="20">
        <f t="shared" si="0"/>
        <v>53</v>
      </c>
      <c r="D65" s="32"/>
      <c r="E65" s="32"/>
      <c r="F65" s="32"/>
      <c r="G65" s="33"/>
      <c r="H65" s="34"/>
      <c r="I65" s="35"/>
      <c r="J65" s="32"/>
      <c r="K65" s="34"/>
      <c r="L65" s="34"/>
      <c r="M65" s="34"/>
      <c r="N65" s="35"/>
      <c r="O65" s="32"/>
      <c r="P65" s="32"/>
      <c r="Q65" s="24" t="e">
        <f>VLOOKUP(H65,Validacion!B$4:C$202,2,FALSE)</f>
        <v>#N/A</v>
      </c>
      <c r="R65" s="25" t="e">
        <f>VLOOKUP(J65,Validacion!D$4:E$30,2,FALSE)</f>
        <v>#N/A</v>
      </c>
    </row>
    <row r="66" spans="2:18" x14ac:dyDescent="0.25">
      <c r="B66" s="18">
        <v>-1</v>
      </c>
      <c r="C66" s="20">
        <f t="shared" si="0"/>
        <v>54</v>
      </c>
      <c r="D66" s="32"/>
      <c r="E66" s="32"/>
      <c r="F66" s="32"/>
      <c r="G66" s="33"/>
      <c r="H66" s="34"/>
      <c r="I66" s="35"/>
      <c r="J66" s="32"/>
      <c r="K66" s="34"/>
      <c r="L66" s="34"/>
      <c r="M66" s="34"/>
      <c r="N66" s="35"/>
      <c r="O66" s="32"/>
      <c r="P66" s="32"/>
      <c r="Q66" s="24" t="e">
        <f>VLOOKUP(H66,Validacion!B$4:C$202,2,FALSE)</f>
        <v>#N/A</v>
      </c>
      <c r="R66" s="25" t="e">
        <f>VLOOKUP(J66,Validacion!D$4:E$30,2,FALSE)</f>
        <v>#N/A</v>
      </c>
    </row>
    <row r="67" spans="2:18" x14ac:dyDescent="0.25">
      <c r="B67" s="18">
        <v>-1</v>
      </c>
      <c r="C67" s="20">
        <f t="shared" si="0"/>
        <v>55</v>
      </c>
      <c r="D67" s="32"/>
      <c r="E67" s="32"/>
      <c r="F67" s="32"/>
      <c r="G67" s="33"/>
      <c r="H67" s="34"/>
      <c r="I67" s="35"/>
      <c r="J67" s="32"/>
      <c r="K67" s="34"/>
      <c r="L67" s="34"/>
      <c r="M67" s="34"/>
      <c r="N67" s="35"/>
      <c r="O67" s="32"/>
      <c r="P67" s="32"/>
      <c r="Q67" s="24" t="e">
        <f>VLOOKUP(H67,Validacion!B$4:C$202,2,FALSE)</f>
        <v>#N/A</v>
      </c>
      <c r="R67" s="25" t="e">
        <f>VLOOKUP(J67,Validacion!D$4:E$30,2,FALSE)</f>
        <v>#N/A</v>
      </c>
    </row>
    <row r="68" spans="2:18" x14ac:dyDescent="0.25">
      <c r="B68" s="18">
        <v>-1</v>
      </c>
      <c r="C68" s="20">
        <f t="shared" si="0"/>
        <v>56</v>
      </c>
      <c r="D68" s="32"/>
      <c r="E68" s="32"/>
      <c r="F68" s="32"/>
      <c r="G68" s="33"/>
      <c r="H68" s="34"/>
      <c r="I68" s="35"/>
      <c r="J68" s="32"/>
      <c r="K68" s="34"/>
      <c r="L68" s="34"/>
      <c r="M68" s="34"/>
      <c r="N68" s="35"/>
      <c r="O68" s="32"/>
      <c r="P68" s="32"/>
      <c r="Q68" s="24" t="e">
        <f>VLOOKUP(H68,Validacion!B$4:C$202,2,FALSE)</f>
        <v>#N/A</v>
      </c>
      <c r="R68" s="25" t="e">
        <f>VLOOKUP(J68,Validacion!D$4:E$30,2,FALSE)</f>
        <v>#N/A</v>
      </c>
    </row>
    <row r="69" spans="2:18" x14ac:dyDescent="0.25">
      <c r="B69" s="18">
        <v>-1</v>
      </c>
      <c r="C69" s="20">
        <f t="shared" si="0"/>
        <v>57</v>
      </c>
      <c r="D69" s="32"/>
      <c r="E69" s="32"/>
      <c r="F69" s="32"/>
      <c r="G69" s="33"/>
      <c r="H69" s="34"/>
      <c r="I69" s="35"/>
      <c r="J69" s="32"/>
      <c r="K69" s="34"/>
      <c r="L69" s="34"/>
      <c r="M69" s="34"/>
      <c r="N69" s="35"/>
      <c r="O69" s="32"/>
      <c r="P69" s="32"/>
      <c r="Q69" s="24" t="e">
        <f>VLOOKUP(H69,Validacion!B$4:C$202,2,FALSE)</f>
        <v>#N/A</v>
      </c>
      <c r="R69" s="25" t="e">
        <f>VLOOKUP(J69,Validacion!D$4:E$30,2,FALSE)</f>
        <v>#N/A</v>
      </c>
    </row>
    <row r="70" spans="2:18" x14ac:dyDescent="0.25">
      <c r="B70" s="18">
        <v>-1</v>
      </c>
      <c r="C70" s="20">
        <f t="shared" si="0"/>
        <v>58</v>
      </c>
      <c r="D70" s="32"/>
      <c r="E70" s="32"/>
      <c r="F70" s="32"/>
      <c r="G70" s="33"/>
      <c r="H70" s="34"/>
      <c r="I70" s="35"/>
      <c r="J70" s="32"/>
      <c r="K70" s="34"/>
      <c r="L70" s="34"/>
      <c r="M70" s="34"/>
      <c r="N70" s="35"/>
      <c r="O70" s="32"/>
      <c r="P70" s="32"/>
      <c r="Q70" s="24" t="e">
        <f>VLOOKUP(H70,Validacion!B$4:C$202,2,FALSE)</f>
        <v>#N/A</v>
      </c>
      <c r="R70" s="25" t="e">
        <f>VLOOKUP(J70,Validacion!D$4:E$30,2,FALSE)</f>
        <v>#N/A</v>
      </c>
    </row>
    <row r="71" spans="2:18" x14ac:dyDescent="0.25">
      <c r="B71" s="18">
        <v>-1</v>
      </c>
      <c r="C71" s="20">
        <f t="shared" si="0"/>
        <v>59</v>
      </c>
      <c r="D71" s="32"/>
      <c r="E71" s="32"/>
      <c r="F71" s="32"/>
      <c r="G71" s="33"/>
      <c r="H71" s="34"/>
      <c r="I71" s="35"/>
      <c r="J71" s="32"/>
      <c r="K71" s="34"/>
      <c r="L71" s="34"/>
      <c r="M71" s="34"/>
      <c r="N71" s="35"/>
      <c r="O71" s="32"/>
      <c r="P71" s="32"/>
      <c r="Q71" s="24" t="e">
        <f>VLOOKUP(H71,Validacion!B$4:C$202,2,FALSE)</f>
        <v>#N/A</v>
      </c>
      <c r="R71" s="25" t="e">
        <f>VLOOKUP(J71,Validacion!D$4:E$30,2,FALSE)</f>
        <v>#N/A</v>
      </c>
    </row>
    <row r="72" spans="2:18" x14ac:dyDescent="0.25">
      <c r="B72" s="18">
        <v>-1</v>
      </c>
      <c r="C72" s="20">
        <f t="shared" si="0"/>
        <v>60</v>
      </c>
      <c r="D72" s="32"/>
      <c r="E72" s="32"/>
      <c r="F72" s="32"/>
      <c r="G72" s="33"/>
      <c r="H72" s="34"/>
      <c r="I72" s="35"/>
      <c r="J72" s="32"/>
      <c r="K72" s="34"/>
      <c r="L72" s="34"/>
      <c r="M72" s="34"/>
      <c r="N72" s="35"/>
      <c r="O72" s="32"/>
      <c r="P72" s="32"/>
      <c r="Q72" s="24" t="e">
        <f>VLOOKUP(H72,Validacion!B$4:C$202,2,FALSE)</f>
        <v>#N/A</v>
      </c>
      <c r="R72" s="25" t="e">
        <f>VLOOKUP(J72,Validacion!D$4:E$30,2,FALSE)</f>
        <v>#N/A</v>
      </c>
    </row>
    <row r="73" spans="2:18" x14ac:dyDescent="0.25">
      <c r="B73" s="18">
        <v>-1</v>
      </c>
      <c r="C73" s="20">
        <f t="shared" si="0"/>
        <v>61</v>
      </c>
      <c r="D73" s="32"/>
      <c r="E73" s="32"/>
      <c r="F73" s="32"/>
      <c r="G73" s="33"/>
      <c r="H73" s="34"/>
      <c r="I73" s="35"/>
      <c r="J73" s="32"/>
      <c r="K73" s="34"/>
      <c r="L73" s="34"/>
      <c r="M73" s="34"/>
      <c r="N73" s="35"/>
      <c r="O73" s="32"/>
      <c r="P73" s="32"/>
      <c r="Q73" s="24" t="e">
        <f>VLOOKUP(H73,Validacion!B$4:C$202,2,FALSE)</f>
        <v>#N/A</v>
      </c>
      <c r="R73" s="25" t="e">
        <f>VLOOKUP(J73,Validacion!D$4:E$30,2,FALSE)</f>
        <v>#N/A</v>
      </c>
    </row>
    <row r="74" spans="2:18" x14ac:dyDescent="0.25">
      <c r="B74" s="18">
        <v>-1</v>
      </c>
      <c r="C74" s="20">
        <f t="shared" si="0"/>
        <v>62</v>
      </c>
      <c r="D74" s="32"/>
      <c r="E74" s="32"/>
      <c r="F74" s="32"/>
      <c r="G74" s="33"/>
      <c r="H74" s="34"/>
      <c r="I74" s="35"/>
      <c r="J74" s="32"/>
      <c r="K74" s="34"/>
      <c r="L74" s="34"/>
      <c r="M74" s="34"/>
      <c r="N74" s="35"/>
      <c r="O74" s="32"/>
      <c r="P74" s="32"/>
      <c r="Q74" s="24" t="e">
        <f>VLOOKUP(H74,Validacion!B$4:C$202,2,FALSE)</f>
        <v>#N/A</v>
      </c>
      <c r="R74" s="25" t="e">
        <f>VLOOKUP(J74,Validacion!D$4:E$30,2,FALSE)</f>
        <v>#N/A</v>
      </c>
    </row>
    <row r="75" spans="2:18" x14ac:dyDescent="0.25">
      <c r="B75" s="18">
        <v>-1</v>
      </c>
      <c r="C75" s="20">
        <f t="shared" si="0"/>
        <v>63</v>
      </c>
      <c r="D75" s="32"/>
      <c r="E75" s="32"/>
      <c r="F75" s="32"/>
      <c r="G75" s="33"/>
      <c r="H75" s="34"/>
      <c r="I75" s="35"/>
      <c r="J75" s="32"/>
      <c r="K75" s="34"/>
      <c r="L75" s="34"/>
      <c r="M75" s="34"/>
      <c r="N75" s="35"/>
      <c r="O75" s="32"/>
      <c r="P75" s="32"/>
      <c r="Q75" s="24" t="e">
        <f>VLOOKUP(H75,Validacion!B$4:C$202,2,FALSE)</f>
        <v>#N/A</v>
      </c>
      <c r="R75" s="25" t="e">
        <f>VLOOKUP(J75,Validacion!D$4:E$30,2,FALSE)</f>
        <v>#N/A</v>
      </c>
    </row>
    <row r="76" spans="2:18" x14ac:dyDescent="0.25">
      <c r="B76" s="18">
        <v>-1</v>
      </c>
      <c r="C76" s="20">
        <f t="shared" si="0"/>
        <v>64</v>
      </c>
      <c r="D76" s="32"/>
      <c r="E76" s="32"/>
      <c r="F76" s="32"/>
      <c r="G76" s="33"/>
      <c r="H76" s="34"/>
      <c r="I76" s="35"/>
      <c r="J76" s="32"/>
      <c r="K76" s="34"/>
      <c r="L76" s="34"/>
      <c r="M76" s="34"/>
      <c r="N76" s="35"/>
      <c r="O76" s="32"/>
      <c r="P76" s="32"/>
      <c r="Q76" s="24" t="e">
        <f>VLOOKUP(H76,Validacion!B$4:C$202,2,FALSE)</f>
        <v>#N/A</v>
      </c>
      <c r="R76" s="25" t="e">
        <f>VLOOKUP(J76,Validacion!D$4:E$30,2,FALSE)</f>
        <v>#N/A</v>
      </c>
    </row>
    <row r="77" spans="2:18" x14ac:dyDescent="0.25">
      <c r="B77" s="18">
        <v>-1</v>
      </c>
      <c r="C77" s="20">
        <f t="shared" si="0"/>
        <v>65</v>
      </c>
      <c r="D77" s="32"/>
      <c r="E77" s="32"/>
      <c r="F77" s="32"/>
      <c r="G77" s="33"/>
      <c r="H77" s="34"/>
      <c r="I77" s="35"/>
      <c r="J77" s="32"/>
      <c r="K77" s="34"/>
      <c r="L77" s="34"/>
      <c r="M77" s="34"/>
      <c r="N77" s="35"/>
      <c r="O77" s="32"/>
      <c r="P77" s="32"/>
      <c r="Q77" s="24" t="e">
        <f>VLOOKUP(H77,Validacion!B$4:C$202,2,FALSE)</f>
        <v>#N/A</v>
      </c>
      <c r="R77" s="25" t="e">
        <f>VLOOKUP(J77,Validacion!D$4:E$30,2,FALSE)</f>
        <v>#N/A</v>
      </c>
    </row>
    <row r="78" spans="2:18" x14ac:dyDescent="0.25">
      <c r="B78" s="18">
        <v>-1</v>
      </c>
      <c r="C78" s="20">
        <f t="shared" si="0"/>
        <v>66</v>
      </c>
      <c r="D78" s="32"/>
      <c r="E78" s="32"/>
      <c r="F78" s="32"/>
      <c r="G78" s="33"/>
      <c r="H78" s="34"/>
      <c r="I78" s="35"/>
      <c r="J78" s="32"/>
      <c r="K78" s="34"/>
      <c r="L78" s="34"/>
      <c r="M78" s="34"/>
      <c r="N78" s="35"/>
      <c r="O78" s="32"/>
      <c r="P78" s="32"/>
      <c r="Q78" s="24" t="e">
        <f>VLOOKUP(H78,Validacion!B$4:C$202,2,FALSE)</f>
        <v>#N/A</v>
      </c>
      <c r="R78" s="25" t="e">
        <f>VLOOKUP(J78,Validacion!D$4:E$30,2,FALSE)</f>
        <v>#N/A</v>
      </c>
    </row>
    <row r="79" spans="2:18" x14ac:dyDescent="0.25">
      <c r="B79" s="18">
        <v>-1</v>
      </c>
      <c r="C79" s="20">
        <f t="shared" ref="C79:C112" si="1">C78+1</f>
        <v>67</v>
      </c>
      <c r="D79" s="32"/>
      <c r="E79" s="32"/>
      <c r="F79" s="32"/>
      <c r="G79" s="33"/>
      <c r="H79" s="34"/>
      <c r="I79" s="35"/>
      <c r="J79" s="32"/>
      <c r="K79" s="34"/>
      <c r="L79" s="34"/>
      <c r="M79" s="34"/>
      <c r="N79" s="35"/>
      <c r="O79" s="32"/>
      <c r="P79" s="32"/>
      <c r="Q79" s="24" t="e">
        <f>VLOOKUP(H79,Validacion!B$4:C$202,2,FALSE)</f>
        <v>#N/A</v>
      </c>
      <c r="R79" s="25" t="e">
        <f>VLOOKUP(J79,Validacion!D$4:E$30,2,FALSE)</f>
        <v>#N/A</v>
      </c>
    </row>
    <row r="80" spans="2:18" x14ac:dyDescent="0.25">
      <c r="B80" s="18">
        <v>-1</v>
      </c>
      <c r="C80" s="20">
        <f t="shared" si="1"/>
        <v>68</v>
      </c>
      <c r="D80" s="32"/>
      <c r="E80" s="32"/>
      <c r="F80" s="32"/>
      <c r="G80" s="33"/>
      <c r="H80" s="34"/>
      <c r="I80" s="35"/>
      <c r="J80" s="32"/>
      <c r="K80" s="34"/>
      <c r="L80" s="34"/>
      <c r="M80" s="34"/>
      <c r="N80" s="35"/>
      <c r="O80" s="32"/>
      <c r="P80" s="32"/>
      <c r="Q80" s="24" t="e">
        <f>VLOOKUP(H80,Validacion!B$4:C$202,2,FALSE)</f>
        <v>#N/A</v>
      </c>
      <c r="R80" s="25" t="e">
        <f>VLOOKUP(J80,Validacion!D$4:E$30,2,FALSE)</f>
        <v>#N/A</v>
      </c>
    </row>
    <row r="81" spans="2:18" x14ac:dyDescent="0.25">
      <c r="B81" s="18">
        <v>-1</v>
      </c>
      <c r="C81" s="20">
        <f t="shared" si="1"/>
        <v>69</v>
      </c>
      <c r="D81" s="32"/>
      <c r="E81" s="32"/>
      <c r="F81" s="32"/>
      <c r="G81" s="33"/>
      <c r="H81" s="34"/>
      <c r="I81" s="35"/>
      <c r="J81" s="32"/>
      <c r="K81" s="34"/>
      <c r="L81" s="34"/>
      <c r="M81" s="34"/>
      <c r="N81" s="35"/>
      <c r="O81" s="32"/>
      <c r="P81" s="32"/>
      <c r="Q81" s="24" t="e">
        <f>VLOOKUP(H81,Validacion!B$4:C$202,2,FALSE)</f>
        <v>#N/A</v>
      </c>
      <c r="R81" s="25" t="e">
        <f>VLOOKUP(J81,Validacion!D$4:E$30,2,FALSE)</f>
        <v>#N/A</v>
      </c>
    </row>
    <row r="82" spans="2:18" x14ac:dyDescent="0.25">
      <c r="B82" s="18">
        <v>-1</v>
      </c>
      <c r="C82" s="20">
        <f t="shared" si="1"/>
        <v>70</v>
      </c>
      <c r="D82" s="32"/>
      <c r="E82" s="32"/>
      <c r="F82" s="32"/>
      <c r="G82" s="33"/>
      <c r="H82" s="34"/>
      <c r="I82" s="35"/>
      <c r="J82" s="32"/>
      <c r="K82" s="34"/>
      <c r="L82" s="34"/>
      <c r="M82" s="34"/>
      <c r="N82" s="35"/>
      <c r="O82" s="32"/>
      <c r="P82" s="32"/>
      <c r="Q82" s="24" t="e">
        <f>VLOOKUP(H82,Validacion!B$4:C$202,2,FALSE)</f>
        <v>#N/A</v>
      </c>
      <c r="R82" s="25" t="e">
        <f>VLOOKUP(J82,Validacion!D$4:E$30,2,FALSE)</f>
        <v>#N/A</v>
      </c>
    </row>
    <row r="83" spans="2:18" x14ac:dyDescent="0.25">
      <c r="B83" s="18">
        <v>-1</v>
      </c>
      <c r="C83" s="20">
        <f t="shared" si="1"/>
        <v>71</v>
      </c>
      <c r="D83" s="32"/>
      <c r="E83" s="32"/>
      <c r="F83" s="32"/>
      <c r="G83" s="33"/>
      <c r="H83" s="34"/>
      <c r="I83" s="35"/>
      <c r="J83" s="32"/>
      <c r="K83" s="34"/>
      <c r="L83" s="34"/>
      <c r="M83" s="34"/>
      <c r="N83" s="35"/>
      <c r="O83" s="32"/>
      <c r="P83" s="32"/>
      <c r="Q83" s="24" t="e">
        <f>VLOOKUP(H83,Validacion!B$4:C$202,2,FALSE)</f>
        <v>#N/A</v>
      </c>
      <c r="R83" s="25" t="e">
        <f>VLOOKUP(J83,Validacion!D$4:E$30,2,FALSE)</f>
        <v>#N/A</v>
      </c>
    </row>
    <row r="84" spans="2:18" x14ac:dyDescent="0.25">
      <c r="B84" s="18">
        <v>-1</v>
      </c>
      <c r="C84" s="20">
        <f t="shared" si="1"/>
        <v>72</v>
      </c>
      <c r="D84" s="32"/>
      <c r="E84" s="32"/>
      <c r="F84" s="32"/>
      <c r="G84" s="33"/>
      <c r="H84" s="34"/>
      <c r="I84" s="35"/>
      <c r="J84" s="32"/>
      <c r="K84" s="34"/>
      <c r="L84" s="34"/>
      <c r="M84" s="34"/>
      <c r="N84" s="35"/>
      <c r="O84" s="32"/>
      <c r="P84" s="32"/>
      <c r="Q84" s="24" t="e">
        <f>VLOOKUP(H84,Validacion!B$4:C$202,2,FALSE)</f>
        <v>#N/A</v>
      </c>
      <c r="R84" s="25" t="e">
        <f>VLOOKUP(J84,Validacion!D$4:E$30,2,FALSE)</f>
        <v>#N/A</v>
      </c>
    </row>
    <row r="85" spans="2:18" x14ac:dyDescent="0.25">
      <c r="B85" s="18">
        <v>-1</v>
      </c>
      <c r="C85" s="20">
        <f t="shared" si="1"/>
        <v>73</v>
      </c>
      <c r="D85" s="32"/>
      <c r="E85" s="32"/>
      <c r="F85" s="32"/>
      <c r="G85" s="33"/>
      <c r="H85" s="34"/>
      <c r="I85" s="35"/>
      <c r="J85" s="32"/>
      <c r="K85" s="34"/>
      <c r="L85" s="34"/>
      <c r="M85" s="34"/>
      <c r="N85" s="35"/>
      <c r="O85" s="32"/>
      <c r="P85" s="32"/>
      <c r="Q85" s="24" t="e">
        <f>VLOOKUP(H85,Validacion!B$4:C$202,2,FALSE)</f>
        <v>#N/A</v>
      </c>
      <c r="R85" s="25" t="e">
        <f>VLOOKUP(J85,Validacion!D$4:E$30,2,FALSE)</f>
        <v>#N/A</v>
      </c>
    </row>
    <row r="86" spans="2:18" x14ac:dyDescent="0.25">
      <c r="B86" s="18">
        <v>-1</v>
      </c>
      <c r="C86" s="20">
        <f t="shared" si="1"/>
        <v>74</v>
      </c>
      <c r="D86" s="32"/>
      <c r="E86" s="32"/>
      <c r="F86" s="32"/>
      <c r="G86" s="33"/>
      <c r="H86" s="34"/>
      <c r="I86" s="35"/>
      <c r="J86" s="32"/>
      <c r="K86" s="34"/>
      <c r="L86" s="34"/>
      <c r="M86" s="34"/>
      <c r="N86" s="35"/>
      <c r="O86" s="32"/>
      <c r="P86" s="32"/>
      <c r="Q86" s="24" t="e">
        <f>VLOOKUP(H86,Validacion!B$4:C$202,2,FALSE)</f>
        <v>#N/A</v>
      </c>
      <c r="R86" s="25" t="e">
        <f>VLOOKUP(J86,Validacion!D$4:E$30,2,FALSE)</f>
        <v>#N/A</v>
      </c>
    </row>
    <row r="87" spans="2:18" x14ac:dyDescent="0.25">
      <c r="B87" s="18">
        <v>-1</v>
      </c>
      <c r="C87" s="20">
        <f t="shared" si="1"/>
        <v>75</v>
      </c>
      <c r="D87" s="32"/>
      <c r="E87" s="32"/>
      <c r="F87" s="32"/>
      <c r="G87" s="33"/>
      <c r="H87" s="34"/>
      <c r="I87" s="35"/>
      <c r="J87" s="32"/>
      <c r="K87" s="34"/>
      <c r="L87" s="34"/>
      <c r="M87" s="34"/>
      <c r="N87" s="35"/>
      <c r="O87" s="32"/>
      <c r="P87" s="32"/>
      <c r="Q87" s="24" t="e">
        <f>VLOOKUP(H87,Validacion!B$4:C$202,2,FALSE)</f>
        <v>#N/A</v>
      </c>
      <c r="R87" s="25" t="e">
        <f>VLOOKUP(J87,Validacion!D$4:E$30,2,FALSE)</f>
        <v>#N/A</v>
      </c>
    </row>
    <row r="88" spans="2:18" x14ac:dyDescent="0.25">
      <c r="B88" s="18">
        <v>-1</v>
      </c>
      <c r="C88" s="20">
        <f t="shared" si="1"/>
        <v>76</v>
      </c>
      <c r="D88" s="32"/>
      <c r="E88" s="32"/>
      <c r="F88" s="32"/>
      <c r="G88" s="33"/>
      <c r="H88" s="34"/>
      <c r="I88" s="35"/>
      <c r="J88" s="32"/>
      <c r="K88" s="34"/>
      <c r="L88" s="34"/>
      <c r="M88" s="34"/>
      <c r="N88" s="35"/>
      <c r="O88" s="32"/>
      <c r="P88" s="32"/>
      <c r="Q88" s="24" t="e">
        <f>VLOOKUP(H88,Validacion!B$4:C$202,2,FALSE)</f>
        <v>#N/A</v>
      </c>
      <c r="R88" s="25" t="e">
        <f>VLOOKUP(J88,Validacion!D$4:E$30,2,FALSE)</f>
        <v>#N/A</v>
      </c>
    </row>
    <row r="89" spans="2:18" x14ac:dyDescent="0.25">
      <c r="B89" s="18">
        <v>-1</v>
      </c>
      <c r="C89" s="20">
        <f t="shared" si="1"/>
        <v>77</v>
      </c>
      <c r="D89" s="32"/>
      <c r="E89" s="32"/>
      <c r="F89" s="32"/>
      <c r="G89" s="33"/>
      <c r="H89" s="34"/>
      <c r="I89" s="35"/>
      <c r="J89" s="32"/>
      <c r="K89" s="34"/>
      <c r="L89" s="34"/>
      <c r="M89" s="34"/>
      <c r="N89" s="35"/>
      <c r="O89" s="32"/>
      <c r="P89" s="32"/>
      <c r="Q89" s="24" t="e">
        <f>VLOOKUP(H89,Validacion!B$4:C$202,2,FALSE)</f>
        <v>#N/A</v>
      </c>
      <c r="R89" s="25" t="e">
        <f>VLOOKUP(J89,Validacion!D$4:E$30,2,FALSE)</f>
        <v>#N/A</v>
      </c>
    </row>
    <row r="90" spans="2:18" x14ac:dyDescent="0.25">
      <c r="B90" s="18">
        <v>-1</v>
      </c>
      <c r="C90" s="20">
        <f t="shared" si="1"/>
        <v>78</v>
      </c>
      <c r="D90" s="32"/>
      <c r="E90" s="32"/>
      <c r="F90" s="32"/>
      <c r="G90" s="33"/>
      <c r="H90" s="34"/>
      <c r="I90" s="35"/>
      <c r="J90" s="32"/>
      <c r="K90" s="34"/>
      <c r="L90" s="34"/>
      <c r="M90" s="34"/>
      <c r="N90" s="35"/>
      <c r="O90" s="32"/>
      <c r="P90" s="32"/>
      <c r="Q90" s="24" t="e">
        <f>VLOOKUP(H90,Validacion!B$4:C$202,2,FALSE)</f>
        <v>#N/A</v>
      </c>
      <c r="R90" s="25" t="e">
        <f>VLOOKUP(J90,Validacion!D$4:E$30,2,FALSE)</f>
        <v>#N/A</v>
      </c>
    </row>
    <row r="91" spans="2:18" x14ac:dyDescent="0.25">
      <c r="B91" s="18">
        <v>-1</v>
      </c>
      <c r="C91" s="20">
        <f t="shared" si="1"/>
        <v>79</v>
      </c>
      <c r="D91" s="32"/>
      <c r="E91" s="32"/>
      <c r="F91" s="32"/>
      <c r="G91" s="33"/>
      <c r="H91" s="34"/>
      <c r="I91" s="35"/>
      <c r="J91" s="32"/>
      <c r="K91" s="34"/>
      <c r="L91" s="34"/>
      <c r="M91" s="34"/>
      <c r="N91" s="35"/>
      <c r="O91" s="32"/>
      <c r="P91" s="32"/>
      <c r="Q91" s="24" t="e">
        <f>VLOOKUP(H91,Validacion!B$4:C$202,2,FALSE)</f>
        <v>#N/A</v>
      </c>
      <c r="R91" s="25" t="e">
        <f>VLOOKUP(J91,Validacion!D$4:E$30,2,FALSE)</f>
        <v>#N/A</v>
      </c>
    </row>
    <row r="92" spans="2:18" x14ac:dyDescent="0.25">
      <c r="B92" s="18">
        <v>-1</v>
      </c>
      <c r="C92" s="20">
        <f t="shared" si="1"/>
        <v>80</v>
      </c>
      <c r="D92" s="32"/>
      <c r="E92" s="32"/>
      <c r="F92" s="32"/>
      <c r="G92" s="33"/>
      <c r="H92" s="34"/>
      <c r="I92" s="35"/>
      <c r="J92" s="32"/>
      <c r="K92" s="34"/>
      <c r="L92" s="34"/>
      <c r="M92" s="34"/>
      <c r="N92" s="35"/>
      <c r="O92" s="32"/>
      <c r="P92" s="32"/>
      <c r="Q92" s="24" t="e">
        <f>VLOOKUP(H92,Validacion!B$4:C$202,2,FALSE)</f>
        <v>#N/A</v>
      </c>
      <c r="R92" s="25" t="e">
        <f>VLOOKUP(J92,Validacion!D$4:E$30,2,FALSE)</f>
        <v>#N/A</v>
      </c>
    </row>
    <row r="93" spans="2:18" x14ac:dyDescent="0.25">
      <c r="B93" s="18">
        <v>-1</v>
      </c>
      <c r="C93" s="20">
        <f t="shared" si="1"/>
        <v>81</v>
      </c>
      <c r="D93" s="32"/>
      <c r="E93" s="32"/>
      <c r="F93" s="32"/>
      <c r="G93" s="33"/>
      <c r="H93" s="34"/>
      <c r="I93" s="35"/>
      <c r="J93" s="32"/>
      <c r="K93" s="34"/>
      <c r="L93" s="34"/>
      <c r="M93" s="34"/>
      <c r="N93" s="35"/>
      <c r="O93" s="32"/>
      <c r="P93" s="32"/>
      <c r="Q93" s="24" t="e">
        <f>VLOOKUP(H93,Validacion!B$4:C$202,2,FALSE)</f>
        <v>#N/A</v>
      </c>
      <c r="R93" s="25" t="e">
        <f>VLOOKUP(J93,Validacion!D$4:E$30,2,FALSE)</f>
        <v>#N/A</v>
      </c>
    </row>
    <row r="94" spans="2:18" x14ac:dyDescent="0.25">
      <c r="B94" s="18">
        <v>-1</v>
      </c>
      <c r="C94" s="20">
        <f t="shared" si="1"/>
        <v>82</v>
      </c>
      <c r="D94" s="32"/>
      <c r="E94" s="32"/>
      <c r="F94" s="32"/>
      <c r="G94" s="33"/>
      <c r="H94" s="34"/>
      <c r="I94" s="35"/>
      <c r="J94" s="32"/>
      <c r="K94" s="34"/>
      <c r="L94" s="34"/>
      <c r="M94" s="34"/>
      <c r="N94" s="35"/>
      <c r="O94" s="32"/>
      <c r="P94" s="32"/>
      <c r="Q94" s="24" t="e">
        <f>VLOOKUP(H94,Validacion!B$4:C$202,2,FALSE)</f>
        <v>#N/A</v>
      </c>
      <c r="R94" s="25" t="e">
        <f>VLOOKUP(J94,Validacion!D$4:E$30,2,FALSE)</f>
        <v>#N/A</v>
      </c>
    </row>
    <row r="95" spans="2:18" x14ac:dyDescent="0.25">
      <c r="B95" s="18">
        <v>-1</v>
      </c>
      <c r="C95" s="20">
        <f t="shared" si="1"/>
        <v>83</v>
      </c>
      <c r="D95" s="32"/>
      <c r="E95" s="32"/>
      <c r="F95" s="32"/>
      <c r="G95" s="33"/>
      <c r="H95" s="34"/>
      <c r="I95" s="35"/>
      <c r="J95" s="32"/>
      <c r="K95" s="34"/>
      <c r="L95" s="34"/>
      <c r="M95" s="34"/>
      <c r="N95" s="35"/>
      <c r="O95" s="32"/>
      <c r="P95" s="32"/>
      <c r="Q95" s="24" t="e">
        <f>VLOOKUP(H95,Validacion!B$4:C$202,2,FALSE)</f>
        <v>#N/A</v>
      </c>
      <c r="R95" s="25" t="e">
        <f>VLOOKUP(J95,Validacion!D$4:E$30,2,FALSE)</f>
        <v>#N/A</v>
      </c>
    </row>
    <row r="96" spans="2:18" x14ac:dyDescent="0.25">
      <c r="B96" s="18">
        <v>-1</v>
      </c>
      <c r="C96" s="20">
        <f t="shared" si="1"/>
        <v>84</v>
      </c>
      <c r="D96" s="32"/>
      <c r="E96" s="32"/>
      <c r="F96" s="32"/>
      <c r="G96" s="33"/>
      <c r="H96" s="34"/>
      <c r="I96" s="35"/>
      <c r="J96" s="32"/>
      <c r="K96" s="34"/>
      <c r="L96" s="34"/>
      <c r="M96" s="34"/>
      <c r="N96" s="35"/>
      <c r="O96" s="32"/>
      <c r="P96" s="32"/>
      <c r="Q96" s="24" t="e">
        <f>VLOOKUP(H96,Validacion!B$4:C$202,2,FALSE)</f>
        <v>#N/A</v>
      </c>
      <c r="R96" s="25" t="e">
        <f>VLOOKUP(J96,Validacion!D$4:E$30,2,FALSE)</f>
        <v>#N/A</v>
      </c>
    </row>
    <row r="97" spans="2:18" x14ac:dyDescent="0.25">
      <c r="B97" s="18">
        <v>-1</v>
      </c>
      <c r="C97" s="20">
        <f t="shared" si="1"/>
        <v>85</v>
      </c>
      <c r="D97" s="32"/>
      <c r="E97" s="32"/>
      <c r="F97" s="32"/>
      <c r="G97" s="33"/>
      <c r="H97" s="34"/>
      <c r="I97" s="35"/>
      <c r="J97" s="32"/>
      <c r="K97" s="34"/>
      <c r="L97" s="34"/>
      <c r="M97" s="34"/>
      <c r="N97" s="35"/>
      <c r="O97" s="32"/>
      <c r="P97" s="32"/>
      <c r="Q97" s="24" t="e">
        <f>VLOOKUP(H97,Validacion!B$4:C$202,2,FALSE)</f>
        <v>#N/A</v>
      </c>
      <c r="R97" s="25" t="e">
        <f>VLOOKUP(J97,Validacion!D$4:E$30,2,FALSE)</f>
        <v>#N/A</v>
      </c>
    </row>
    <row r="98" spans="2:18" x14ac:dyDescent="0.25">
      <c r="B98" s="18">
        <v>-1</v>
      </c>
      <c r="C98" s="20">
        <f t="shared" si="1"/>
        <v>86</v>
      </c>
      <c r="D98" s="32"/>
      <c r="E98" s="32"/>
      <c r="F98" s="32"/>
      <c r="G98" s="33"/>
      <c r="H98" s="34"/>
      <c r="I98" s="35"/>
      <c r="J98" s="32"/>
      <c r="K98" s="34"/>
      <c r="L98" s="34"/>
      <c r="M98" s="34"/>
      <c r="N98" s="35"/>
      <c r="O98" s="32"/>
      <c r="P98" s="32"/>
      <c r="Q98" s="24" t="e">
        <f>VLOOKUP(H98,Validacion!B$4:C$202,2,FALSE)</f>
        <v>#N/A</v>
      </c>
      <c r="R98" s="25" t="e">
        <f>VLOOKUP(J98,Validacion!D$4:E$30,2,FALSE)</f>
        <v>#N/A</v>
      </c>
    </row>
    <row r="99" spans="2:18" x14ac:dyDescent="0.25">
      <c r="B99" s="18">
        <v>-1</v>
      </c>
      <c r="C99" s="20">
        <f t="shared" si="1"/>
        <v>87</v>
      </c>
      <c r="D99" s="32"/>
      <c r="E99" s="32"/>
      <c r="F99" s="32"/>
      <c r="G99" s="33"/>
      <c r="H99" s="34"/>
      <c r="I99" s="35"/>
      <c r="J99" s="32"/>
      <c r="K99" s="34"/>
      <c r="L99" s="34"/>
      <c r="M99" s="34"/>
      <c r="N99" s="35"/>
      <c r="O99" s="32"/>
      <c r="P99" s="32"/>
      <c r="Q99" s="24" t="e">
        <f>VLOOKUP(H99,Validacion!B$4:C$202,2,FALSE)</f>
        <v>#N/A</v>
      </c>
      <c r="R99" s="25" t="e">
        <f>VLOOKUP(J99,Validacion!D$4:E$30,2,FALSE)</f>
        <v>#N/A</v>
      </c>
    </row>
    <row r="100" spans="2:18" x14ac:dyDescent="0.25">
      <c r="B100" s="18">
        <v>-1</v>
      </c>
      <c r="C100" s="20">
        <f t="shared" si="1"/>
        <v>88</v>
      </c>
      <c r="D100" s="32"/>
      <c r="E100" s="32"/>
      <c r="F100" s="32"/>
      <c r="G100" s="33"/>
      <c r="H100" s="34"/>
      <c r="I100" s="35"/>
      <c r="J100" s="32"/>
      <c r="K100" s="34"/>
      <c r="L100" s="34"/>
      <c r="M100" s="34"/>
      <c r="N100" s="35"/>
      <c r="O100" s="32"/>
      <c r="P100" s="32"/>
      <c r="Q100" s="24" t="e">
        <f>VLOOKUP(H100,Validacion!B$4:C$202,2,FALSE)</f>
        <v>#N/A</v>
      </c>
      <c r="R100" s="25" t="e">
        <f>VLOOKUP(J100,Validacion!D$4:E$30,2,FALSE)</f>
        <v>#N/A</v>
      </c>
    </row>
    <row r="101" spans="2:18" x14ac:dyDescent="0.25">
      <c r="B101" s="18">
        <v>-1</v>
      </c>
      <c r="C101" s="20">
        <f t="shared" si="1"/>
        <v>89</v>
      </c>
      <c r="D101" s="32"/>
      <c r="E101" s="32"/>
      <c r="F101" s="32"/>
      <c r="G101" s="33"/>
      <c r="H101" s="34"/>
      <c r="I101" s="35"/>
      <c r="J101" s="32"/>
      <c r="K101" s="34"/>
      <c r="L101" s="34"/>
      <c r="M101" s="34"/>
      <c r="N101" s="35"/>
      <c r="O101" s="32"/>
      <c r="P101" s="32"/>
      <c r="Q101" s="24" t="e">
        <f>VLOOKUP(H101,Validacion!B$4:C$202,2,FALSE)</f>
        <v>#N/A</v>
      </c>
      <c r="R101" s="25" t="e">
        <f>VLOOKUP(J101,Validacion!D$4:E$30,2,FALSE)</f>
        <v>#N/A</v>
      </c>
    </row>
    <row r="102" spans="2:18" x14ac:dyDescent="0.25">
      <c r="B102" s="18">
        <v>-1</v>
      </c>
      <c r="C102" s="20">
        <f t="shared" si="1"/>
        <v>90</v>
      </c>
      <c r="D102" s="32"/>
      <c r="E102" s="32"/>
      <c r="F102" s="32"/>
      <c r="G102" s="33"/>
      <c r="H102" s="34"/>
      <c r="I102" s="35"/>
      <c r="J102" s="32"/>
      <c r="K102" s="34"/>
      <c r="L102" s="34"/>
      <c r="M102" s="34"/>
      <c r="N102" s="35"/>
      <c r="O102" s="32"/>
      <c r="P102" s="32"/>
      <c r="Q102" s="24" t="e">
        <f>VLOOKUP(H102,Validacion!B$4:C$202,2,FALSE)</f>
        <v>#N/A</v>
      </c>
      <c r="R102" s="25" t="e">
        <f>VLOOKUP(J102,Validacion!D$4:E$30,2,FALSE)</f>
        <v>#N/A</v>
      </c>
    </row>
    <row r="103" spans="2:18" x14ac:dyDescent="0.25">
      <c r="B103" s="18">
        <v>-1</v>
      </c>
      <c r="C103" s="20">
        <f t="shared" si="1"/>
        <v>91</v>
      </c>
      <c r="D103" s="32"/>
      <c r="E103" s="32"/>
      <c r="F103" s="32"/>
      <c r="G103" s="33"/>
      <c r="H103" s="34"/>
      <c r="I103" s="35"/>
      <c r="J103" s="32"/>
      <c r="K103" s="34"/>
      <c r="L103" s="34"/>
      <c r="M103" s="34"/>
      <c r="N103" s="35"/>
      <c r="O103" s="32"/>
      <c r="P103" s="32"/>
      <c r="Q103" s="24" t="e">
        <f>VLOOKUP(H103,Validacion!B$4:C$202,2,FALSE)</f>
        <v>#N/A</v>
      </c>
      <c r="R103" s="25" t="e">
        <f>VLOOKUP(J103,Validacion!D$4:E$30,2,FALSE)</f>
        <v>#N/A</v>
      </c>
    </row>
    <row r="104" spans="2:18" x14ac:dyDescent="0.25">
      <c r="B104" s="18">
        <v>-1</v>
      </c>
      <c r="C104" s="20">
        <f t="shared" si="1"/>
        <v>92</v>
      </c>
      <c r="D104" s="32"/>
      <c r="E104" s="32"/>
      <c r="F104" s="32"/>
      <c r="G104" s="33"/>
      <c r="H104" s="34"/>
      <c r="I104" s="35"/>
      <c r="J104" s="32"/>
      <c r="K104" s="34"/>
      <c r="L104" s="34"/>
      <c r="M104" s="34"/>
      <c r="N104" s="35"/>
      <c r="O104" s="32"/>
      <c r="P104" s="32"/>
      <c r="Q104" s="24" t="e">
        <f>VLOOKUP(H104,Validacion!B$4:C$202,2,FALSE)</f>
        <v>#N/A</v>
      </c>
      <c r="R104" s="25" t="e">
        <f>VLOOKUP(J104,Validacion!D$4:E$30,2,FALSE)</f>
        <v>#N/A</v>
      </c>
    </row>
    <row r="105" spans="2:18" x14ac:dyDescent="0.25">
      <c r="B105" s="18">
        <v>-1</v>
      </c>
      <c r="C105" s="20">
        <f t="shared" si="1"/>
        <v>93</v>
      </c>
      <c r="D105" s="32"/>
      <c r="E105" s="32"/>
      <c r="F105" s="32"/>
      <c r="G105" s="33"/>
      <c r="H105" s="34"/>
      <c r="I105" s="35"/>
      <c r="J105" s="32"/>
      <c r="K105" s="34"/>
      <c r="L105" s="34"/>
      <c r="M105" s="34"/>
      <c r="N105" s="35"/>
      <c r="O105" s="32"/>
      <c r="P105" s="32"/>
      <c r="Q105" s="24" t="e">
        <f>VLOOKUP(H105,Validacion!B$4:C$202,2,FALSE)</f>
        <v>#N/A</v>
      </c>
      <c r="R105" s="25" t="e">
        <f>VLOOKUP(J105,Validacion!D$4:E$30,2,FALSE)</f>
        <v>#N/A</v>
      </c>
    </row>
    <row r="106" spans="2:18" x14ac:dyDescent="0.25">
      <c r="B106" s="18">
        <v>-1</v>
      </c>
      <c r="C106" s="20">
        <f t="shared" si="1"/>
        <v>94</v>
      </c>
      <c r="D106" s="32"/>
      <c r="E106" s="32"/>
      <c r="F106" s="32"/>
      <c r="G106" s="33"/>
      <c r="H106" s="34"/>
      <c r="I106" s="35"/>
      <c r="J106" s="32"/>
      <c r="K106" s="34"/>
      <c r="L106" s="34"/>
      <c r="M106" s="34"/>
      <c r="N106" s="35"/>
      <c r="O106" s="32"/>
      <c r="P106" s="32"/>
      <c r="Q106" s="24" t="e">
        <f>VLOOKUP(H106,Validacion!B$4:C$202,2,FALSE)</f>
        <v>#N/A</v>
      </c>
      <c r="R106" s="25" t="e">
        <f>VLOOKUP(J106,Validacion!D$4:E$30,2,FALSE)</f>
        <v>#N/A</v>
      </c>
    </row>
    <row r="107" spans="2:18" x14ac:dyDescent="0.25">
      <c r="B107" s="18">
        <v>-1</v>
      </c>
      <c r="C107" s="20">
        <f t="shared" si="1"/>
        <v>95</v>
      </c>
      <c r="D107" s="32"/>
      <c r="E107" s="32"/>
      <c r="F107" s="32"/>
      <c r="G107" s="33"/>
      <c r="H107" s="34"/>
      <c r="I107" s="35"/>
      <c r="J107" s="32"/>
      <c r="K107" s="34"/>
      <c r="L107" s="34"/>
      <c r="M107" s="34"/>
      <c r="N107" s="35"/>
      <c r="O107" s="32"/>
      <c r="P107" s="32"/>
      <c r="Q107" s="24" t="e">
        <f>VLOOKUP(H107,Validacion!B$4:C$202,2,FALSE)</f>
        <v>#N/A</v>
      </c>
      <c r="R107" s="25" t="e">
        <f>VLOOKUP(J107,Validacion!D$4:E$30,2,FALSE)</f>
        <v>#N/A</v>
      </c>
    </row>
    <row r="108" spans="2:18" x14ac:dyDescent="0.25">
      <c r="B108" s="18">
        <v>-1</v>
      </c>
      <c r="C108" s="20">
        <f t="shared" si="1"/>
        <v>96</v>
      </c>
      <c r="D108" s="32"/>
      <c r="E108" s="32"/>
      <c r="F108" s="32"/>
      <c r="G108" s="33"/>
      <c r="H108" s="34"/>
      <c r="I108" s="35"/>
      <c r="J108" s="32"/>
      <c r="K108" s="34"/>
      <c r="L108" s="34"/>
      <c r="M108" s="34"/>
      <c r="N108" s="35"/>
      <c r="O108" s="32"/>
      <c r="P108" s="32"/>
      <c r="Q108" s="24" t="e">
        <f>VLOOKUP(H108,Validacion!B$4:C$202,2,FALSE)</f>
        <v>#N/A</v>
      </c>
      <c r="R108" s="25" t="e">
        <f>VLOOKUP(J108,Validacion!D$4:E$30,2,FALSE)</f>
        <v>#N/A</v>
      </c>
    </row>
    <row r="109" spans="2:18" x14ac:dyDescent="0.25">
      <c r="B109" s="18">
        <v>-1</v>
      </c>
      <c r="C109" s="20">
        <f t="shared" si="1"/>
        <v>97</v>
      </c>
      <c r="D109" s="32"/>
      <c r="E109" s="32"/>
      <c r="F109" s="32"/>
      <c r="G109" s="33"/>
      <c r="H109" s="34"/>
      <c r="I109" s="35"/>
      <c r="J109" s="32"/>
      <c r="K109" s="34"/>
      <c r="L109" s="34"/>
      <c r="M109" s="34"/>
      <c r="N109" s="35"/>
      <c r="O109" s="32"/>
      <c r="P109" s="32"/>
      <c r="Q109" s="24" t="e">
        <f>VLOOKUP(H109,Validacion!B$4:C$202,2,FALSE)</f>
        <v>#N/A</v>
      </c>
      <c r="R109" s="25" t="e">
        <f>VLOOKUP(J109,Validacion!D$4:E$30,2,FALSE)</f>
        <v>#N/A</v>
      </c>
    </row>
    <row r="110" spans="2:18" x14ac:dyDescent="0.25">
      <c r="B110" s="18">
        <v>-1</v>
      </c>
      <c r="C110" s="20">
        <f t="shared" si="1"/>
        <v>98</v>
      </c>
      <c r="D110" s="32"/>
      <c r="E110" s="32"/>
      <c r="F110" s="32"/>
      <c r="G110" s="33"/>
      <c r="H110" s="34"/>
      <c r="I110" s="35"/>
      <c r="J110" s="32"/>
      <c r="K110" s="34"/>
      <c r="L110" s="34"/>
      <c r="M110" s="34"/>
      <c r="N110" s="35"/>
      <c r="O110" s="32"/>
      <c r="P110" s="32"/>
      <c r="Q110" s="24" t="e">
        <f>VLOOKUP(H110,Validacion!B$4:C$202,2,FALSE)</f>
        <v>#N/A</v>
      </c>
      <c r="R110" s="25" t="e">
        <f>VLOOKUP(J110,Validacion!D$4:E$30,2,FALSE)</f>
        <v>#N/A</v>
      </c>
    </row>
    <row r="111" spans="2:18" x14ac:dyDescent="0.25">
      <c r="B111" s="18">
        <v>-1</v>
      </c>
      <c r="C111" s="20">
        <f t="shared" si="1"/>
        <v>99</v>
      </c>
      <c r="D111" s="32"/>
      <c r="E111" s="32"/>
      <c r="F111" s="32"/>
      <c r="G111" s="33"/>
      <c r="H111" s="34"/>
      <c r="I111" s="35"/>
      <c r="J111" s="32"/>
      <c r="K111" s="34"/>
      <c r="L111" s="34"/>
      <c r="M111" s="34"/>
      <c r="N111" s="35"/>
      <c r="O111" s="32"/>
      <c r="P111" s="32"/>
      <c r="Q111" s="24" t="e">
        <f>VLOOKUP(H111,Validacion!B$4:C$202,2,FALSE)</f>
        <v>#N/A</v>
      </c>
      <c r="R111" s="25" t="e">
        <f>VLOOKUP(J111,Validacion!D$4:E$30,2,FALSE)</f>
        <v>#N/A</v>
      </c>
    </row>
    <row r="112" spans="2:18" x14ac:dyDescent="0.25">
      <c r="B112" s="18">
        <v>-1</v>
      </c>
      <c r="C112" s="20">
        <f t="shared" si="1"/>
        <v>100</v>
      </c>
      <c r="D112" s="32"/>
      <c r="E112" s="32"/>
      <c r="F112" s="32"/>
      <c r="G112" s="33"/>
      <c r="H112" s="34"/>
      <c r="I112" s="35"/>
      <c r="J112" s="32"/>
      <c r="K112" s="34"/>
      <c r="L112" s="34"/>
      <c r="M112" s="34"/>
      <c r="N112" s="35"/>
      <c r="O112" s="32"/>
      <c r="P112" s="32"/>
      <c r="Q112" s="24" t="e">
        <f>VLOOKUP(H112,Validacion!B$4:C$202,2,FALSE)</f>
        <v>#N/A</v>
      </c>
      <c r="R112" s="25" t="e">
        <f>VLOOKUP(J112,Validacion!D$4:E$30,2,FALSE)</f>
        <v>#N/A</v>
      </c>
    </row>
    <row r="113" spans="1:2" x14ac:dyDescent="0.25">
      <c r="A113" s="1"/>
      <c r="B113" s="1"/>
    </row>
    <row r="114" spans="1:2" x14ac:dyDescent="0.25">
      <c r="A114" s="1"/>
      <c r="B114" s="1"/>
    </row>
    <row r="115" spans="1:2" x14ac:dyDescent="0.25">
      <c r="A115" s="1"/>
      <c r="B115" s="1"/>
    </row>
    <row r="116" spans="1:2" x14ac:dyDescent="0.25">
      <c r="A116" s="1"/>
      <c r="B116" s="1"/>
    </row>
    <row r="117" spans="1:2" x14ac:dyDescent="0.25">
      <c r="A117" s="1"/>
      <c r="B117" s="1"/>
    </row>
    <row r="118" spans="1:2" x14ac:dyDescent="0.25">
      <c r="A118" s="1"/>
      <c r="B118" s="1"/>
    </row>
    <row r="119" spans="1:2" x14ac:dyDescent="0.25">
      <c r="A119" s="1"/>
      <c r="B119" s="1"/>
    </row>
    <row r="120" spans="1:2" x14ac:dyDescent="0.25">
      <c r="A120" s="1"/>
      <c r="B120" s="1"/>
    </row>
    <row r="121" spans="1:2" x14ac:dyDescent="0.25">
      <c r="A121" s="1"/>
      <c r="B121" s="1"/>
    </row>
    <row r="122" spans="1:2" x14ac:dyDescent="0.25">
      <c r="A122" s="1"/>
      <c r="B122" s="1"/>
    </row>
    <row r="123" spans="1:2" x14ac:dyDescent="0.25">
      <c r="A123" s="1"/>
      <c r="B123" s="1"/>
    </row>
    <row r="124" spans="1:2" x14ac:dyDescent="0.25">
      <c r="A124" s="1"/>
      <c r="B124" s="1"/>
    </row>
    <row r="125" spans="1:2" x14ac:dyDescent="0.25">
      <c r="A125" s="1"/>
      <c r="B125" s="1"/>
    </row>
    <row r="126" spans="1:2" x14ac:dyDescent="0.25">
      <c r="A126" s="1"/>
      <c r="B126" s="1"/>
    </row>
    <row r="127" spans="1:2" x14ac:dyDescent="0.25">
      <c r="A127" s="1"/>
      <c r="B127" s="1"/>
    </row>
    <row r="128" spans="1:2" x14ac:dyDescent="0.25">
      <c r="A128" s="1"/>
      <c r="B128" s="1"/>
    </row>
    <row r="129" spans="1:2" x14ac:dyDescent="0.25">
      <c r="A129" s="1"/>
      <c r="B129" s="1"/>
    </row>
    <row r="130" spans="1:2" x14ac:dyDescent="0.25">
      <c r="A130" s="1"/>
      <c r="B130" s="1"/>
    </row>
    <row r="131" spans="1:2" x14ac:dyDescent="0.25">
      <c r="A131" s="1"/>
      <c r="B131" s="1"/>
    </row>
    <row r="132" spans="1:2" x14ac:dyDescent="0.25">
      <c r="A132" s="1"/>
      <c r="B132" s="1"/>
    </row>
    <row r="133" spans="1:2" x14ac:dyDescent="0.25">
      <c r="A133" s="1"/>
      <c r="B133" s="1"/>
    </row>
    <row r="134" spans="1:2" x14ac:dyDescent="0.25">
      <c r="A134" s="1"/>
      <c r="B134" s="1"/>
    </row>
    <row r="135" spans="1:2" x14ac:dyDescent="0.25">
      <c r="A135" s="1"/>
      <c r="B135" s="1"/>
    </row>
    <row r="136" spans="1:2" x14ac:dyDescent="0.25">
      <c r="A136" s="1"/>
      <c r="B136" s="1"/>
    </row>
    <row r="137" spans="1:2" x14ac:dyDescent="0.25">
      <c r="A137" s="1"/>
      <c r="B137" s="1"/>
    </row>
    <row r="138" spans="1:2" x14ac:dyDescent="0.25">
      <c r="A138" s="1"/>
      <c r="B138" s="1"/>
    </row>
    <row r="139" spans="1:2" x14ac:dyDescent="0.25">
      <c r="A139" s="1"/>
      <c r="B139" s="1"/>
    </row>
    <row r="140" spans="1:2" x14ac:dyDescent="0.25">
      <c r="A140" s="1"/>
      <c r="B140" s="1"/>
    </row>
    <row r="141" spans="1:2" x14ac:dyDescent="0.25">
      <c r="A141" s="1"/>
      <c r="B141" s="1"/>
    </row>
    <row r="142" spans="1:2" x14ac:dyDescent="0.25">
      <c r="A142" s="1"/>
      <c r="B142" s="1"/>
    </row>
    <row r="143" spans="1:2" x14ac:dyDescent="0.25">
      <c r="A143" s="1"/>
      <c r="B143" s="1"/>
    </row>
    <row r="144" spans="1:2" x14ac:dyDescent="0.25">
      <c r="A144" s="1"/>
      <c r="B144" s="1"/>
    </row>
    <row r="145" spans="1:2" x14ac:dyDescent="0.25">
      <c r="A145" s="1"/>
      <c r="B145" s="1"/>
    </row>
    <row r="146" spans="1:2" x14ac:dyDescent="0.25">
      <c r="A146" s="1"/>
      <c r="B146" s="1"/>
    </row>
    <row r="147" spans="1:2" x14ac:dyDescent="0.25">
      <c r="A147" s="1"/>
      <c r="B147" s="1"/>
    </row>
    <row r="148" spans="1:2" x14ac:dyDescent="0.25">
      <c r="A148" s="1"/>
      <c r="B148" s="1"/>
    </row>
    <row r="149" spans="1:2" x14ac:dyDescent="0.25">
      <c r="A149" s="1"/>
      <c r="B149" s="1"/>
    </row>
    <row r="150" spans="1:2" x14ac:dyDescent="0.25">
      <c r="A150" s="1"/>
      <c r="B150" s="1"/>
    </row>
    <row r="151" spans="1:2" x14ac:dyDescent="0.25">
      <c r="A151" s="1"/>
      <c r="B151" s="1"/>
    </row>
    <row r="152" spans="1:2" x14ac:dyDescent="0.25">
      <c r="A152" s="1"/>
      <c r="B152" s="1"/>
    </row>
    <row r="153" spans="1:2" x14ac:dyDescent="0.25">
      <c r="A153" s="1"/>
      <c r="B153" s="1"/>
    </row>
    <row r="154" spans="1:2" x14ac:dyDescent="0.25">
      <c r="A154" s="1"/>
      <c r="B154" s="1"/>
    </row>
    <row r="155" spans="1:2" x14ac:dyDescent="0.25">
      <c r="A155" s="1"/>
      <c r="B155" s="1"/>
    </row>
    <row r="156" spans="1:2" x14ac:dyDescent="0.25">
      <c r="A156" s="1"/>
      <c r="B156" s="1"/>
    </row>
    <row r="157" spans="1:2" x14ac:dyDescent="0.25">
      <c r="A157" s="1"/>
      <c r="B157" s="1"/>
    </row>
    <row r="158" spans="1:2" x14ac:dyDescent="0.25">
      <c r="A158" s="1"/>
      <c r="B158" s="1"/>
    </row>
    <row r="159" spans="1:2" x14ac:dyDescent="0.25">
      <c r="A159" s="1"/>
      <c r="B159" s="1"/>
    </row>
    <row r="160" spans="1:2" x14ac:dyDescent="0.25">
      <c r="A160" s="1"/>
      <c r="B160" s="1"/>
    </row>
    <row r="161" spans="1:2" x14ac:dyDescent="0.25">
      <c r="A161" s="1"/>
      <c r="B161" s="1"/>
    </row>
    <row r="162" spans="1:2" x14ac:dyDescent="0.25">
      <c r="A162" s="1"/>
      <c r="B162" s="1"/>
    </row>
    <row r="163" spans="1:2" x14ac:dyDescent="0.25">
      <c r="A163" s="1"/>
      <c r="B163" s="1"/>
    </row>
    <row r="164" spans="1:2" x14ac:dyDescent="0.25">
      <c r="A164" s="1"/>
      <c r="B164" s="1"/>
    </row>
    <row r="165" spans="1:2" x14ac:dyDescent="0.25">
      <c r="A165" s="1"/>
      <c r="B165" s="1"/>
    </row>
    <row r="166" spans="1:2" x14ac:dyDescent="0.25">
      <c r="A166" s="1"/>
      <c r="B166" s="1"/>
    </row>
    <row r="167" spans="1:2" x14ac:dyDescent="0.25">
      <c r="A167" s="1"/>
      <c r="B167" s="1"/>
    </row>
    <row r="168" spans="1:2" x14ac:dyDescent="0.25">
      <c r="A168" s="1"/>
      <c r="B168" s="1"/>
    </row>
    <row r="169" spans="1:2" x14ac:dyDescent="0.25">
      <c r="A169" s="1"/>
      <c r="B169" s="1"/>
    </row>
    <row r="170" spans="1:2" x14ac:dyDescent="0.25">
      <c r="A170" s="1"/>
      <c r="B170" s="1"/>
    </row>
    <row r="171" spans="1:2" x14ac:dyDescent="0.25">
      <c r="A171" s="1"/>
      <c r="B171" s="1"/>
    </row>
    <row r="172" spans="1:2" x14ac:dyDescent="0.25">
      <c r="A172" s="1"/>
      <c r="B172" s="1"/>
    </row>
    <row r="173" spans="1:2" x14ac:dyDescent="0.25">
      <c r="A173" s="1"/>
      <c r="B173" s="1"/>
    </row>
    <row r="174" spans="1:2" x14ac:dyDescent="0.25">
      <c r="A174" s="1"/>
      <c r="B174" s="1"/>
    </row>
    <row r="175" spans="1:2" x14ac:dyDescent="0.25">
      <c r="A175" s="1"/>
      <c r="B175" s="1"/>
    </row>
    <row r="176" spans="1:2" x14ac:dyDescent="0.25">
      <c r="A176" s="1"/>
      <c r="B176" s="1"/>
    </row>
    <row r="177" spans="1:2" x14ac:dyDescent="0.25">
      <c r="A177" s="1"/>
      <c r="B177" s="1"/>
    </row>
    <row r="178" spans="1:2" x14ac:dyDescent="0.25">
      <c r="A178" s="1"/>
      <c r="B178" s="1"/>
    </row>
    <row r="179" spans="1:2" x14ac:dyDescent="0.25">
      <c r="A179" s="1"/>
      <c r="B179" s="1"/>
    </row>
    <row r="180" spans="1:2" x14ac:dyDescent="0.25">
      <c r="A180" s="1"/>
      <c r="B180" s="1"/>
    </row>
    <row r="181" spans="1:2" x14ac:dyDescent="0.25">
      <c r="A181" s="1"/>
      <c r="B181" s="1"/>
    </row>
    <row r="182" spans="1:2" x14ac:dyDescent="0.25">
      <c r="A182" s="1"/>
      <c r="B182" s="1"/>
    </row>
    <row r="183" spans="1:2" x14ac:dyDescent="0.25">
      <c r="A183" s="1"/>
      <c r="B183" s="1"/>
    </row>
    <row r="184" spans="1:2" x14ac:dyDescent="0.25">
      <c r="A184" s="1"/>
      <c r="B184" s="1"/>
    </row>
    <row r="185" spans="1:2" x14ac:dyDescent="0.25">
      <c r="A185" s="1"/>
      <c r="B185" s="1"/>
    </row>
    <row r="186" spans="1:2" x14ac:dyDescent="0.25">
      <c r="A186" s="1"/>
      <c r="B186" s="1"/>
    </row>
    <row r="187" spans="1:2" x14ac:dyDescent="0.25">
      <c r="A187" s="1"/>
      <c r="B187" s="1"/>
    </row>
    <row r="188" spans="1:2" x14ac:dyDescent="0.25">
      <c r="A188" s="1"/>
      <c r="B188" s="1"/>
    </row>
    <row r="189" spans="1:2" x14ac:dyDescent="0.25">
      <c r="A189" s="1"/>
      <c r="B189" s="1"/>
    </row>
    <row r="190" spans="1:2" x14ac:dyDescent="0.25">
      <c r="A190" s="1"/>
      <c r="B190" s="1"/>
    </row>
    <row r="191" spans="1:2" x14ac:dyDescent="0.25">
      <c r="A191" s="1"/>
      <c r="B191" s="1"/>
    </row>
    <row r="192" spans="1:2" x14ac:dyDescent="0.25">
      <c r="A192" s="1"/>
      <c r="B192" s="1"/>
    </row>
    <row r="193" spans="1:2" x14ac:dyDescent="0.25">
      <c r="A193" s="1"/>
      <c r="B193" s="1"/>
    </row>
    <row r="194" spans="1:2" x14ac:dyDescent="0.25">
      <c r="A194" s="1"/>
      <c r="B194" s="1"/>
    </row>
    <row r="195" spans="1:2" x14ac:dyDescent="0.25">
      <c r="A195" s="1"/>
      <c r="B195" s="1"/>
    </row>
    <row r="196" spans="1:2" x14ac:dyDescent="0.25">
      <c r="A196" s="1"/>
      <c r="B196" s="1"/>
    </row>
    <row r="197" spans="1:2" x14ac:dyDescent="0.25">
      <c r="A197" s="1"/>
      <c r="B197" s="1"/>
    </row>
    <row r="198" spans="1:2" x14ac:dyDescent="0.25">
      <c r="A198" s="1"/>
      <c r="B198" s="1"/>
    </row>
    <row r="199" spans="1:2" x14ac:dyDescent="0.25">
      <c r="A199" s="1"/>
      <c r="B199" s="1"/>
    </row>
    <row r="200" spans="1:2" x14ac:dyDescent="0.25">
      <c r="A200" s="1"/>
      <c r="B200" s="1"/>
    </row>
    <row r="201" spans="1:2" x14ac:dyDescent="0.25">
      <c r="A201" s="1"/>
      <c r="B201" s="1"/>
    </row>
    <row r="202" spans="1:2" x14ac:dyDescent="0.25">
      <c r="A202" s="1"/>
      <c r="B202" s="1"/>
    </row>
    <row r="203" spans="1:2" x14ac:dyDescent="0.25">
      <c r="A203" s="1"/>
      <c r="B203" s="1"/>
    </row>
    <row r="204" spans="1:2" x14ac:dyDescent="0.25">
      <c r="A204" s="1"/>
      <c r="B204" s="1"/>
    </row>
    <row r="205" spans="1:2" x14ac:dyDescent="0.25">
      <c r="A205" s="1"/>
      <c r="B205" s="1"/>
    </row>
    <row r="206" spans="1:2" x14ac:dyDescent="0.25">
      <c r="A206" s="1"/>
      <c r="B206" s="1"/>
    </row>
    <row r="207" spans="1:2" x14ac:dyDescent="0.25">
      <c r="A207" s="1"/>
      <c r="B207" s="1"/>
    </row>
    <row r="208" spans="1:2" x14ac:dyDescent="0.25">
      <c r="A208" s="1"/>
      <c r="B208" s="1"/>
    </row>
    <row r="209" spans="1:2" x14ac:dyDescent="0.25">
      <c r="A209" s="1"/>
      <c r="B209" s="1"/>
    </row>
    <row r="210" spans="1:2" x14ac:dyDescent="0.25">
      <c r="A210" s="1"/>
      <c r="B210" s="1"/>
    </row>
    <row r="211" spans="1:2" x14ac:dyDescent="0.25">
      <c r="A211" s="1"/>
      <c r="B211" s="1"/>
    </row>
    <row r="212" spans="1:2" x14ac:dyDescent="0.25">
      <c r="A212" s="1"/>
      <c r="B212" s="1"/>
    </row>
    <row r="213" spans="1:2" x14ac:dyDescent="0.25">
      <c r="A213" s="1"/>
      <c r="B213" s="1"/>
    </row>
    <row r="214" spans="1:2" x14ac:dyDescent="0.25">
      <c r="A214" s="1"/>
      <c r="B214" s="1"/>
    </row>
    <row r="215" spans="1:2" x14ac:dyDescent="0.25">
      <c r="A215" s="1"/>
      <c r="B215" s="1"/>
    </row>
    <row r="216" spans="1:2" x14ac:dyDescent="0.25">
      <c r="A216" s="1"/>
      <c r="B216" s="1"/>
    </row>
    <row r="217" spans="1:2" x14ac:dyDescent="0.25">
      <c r="A217" s="1"/>
      <c r="B217" s="1"/>
    </row>
    <row r="218" spans="1:2" x14ac:dyDescent="0.25">
      <c r="A218" s="1"/>
      <c r="B218" s="1"/>
    </row>
    <row r="219" spans="1:2" x14ac:dyDescent="0.25">
      <c r="A219" s="1"/>
      <c r="B219" s="1"/>
    </row>
    <row r="220" spans="1:2" x14ac:dyDescent="0.25">
      <c r="A220" s="1"/>
      <c r="B220" s="1"/>
    </row>
    <row r="221" spans="1:2" x14ac:dyDescent="0.25">
      <c r="A221" s="1"/>
      <c r="B221" s="1"/>
    </row>
    <row r="222" spans="1:2" x14ac:dyDescent="0.25">
      <c r="A222" s="1"/>
      <c r="B222" s="1"/>
    </row>
    <row r="223" spans="1:2" x14ac:dyDescent="0.25">
      <c r="A223" s="1"/>
      <c r="B223" s="1"/>
    </row>
    <row r="224" spans="1:2" x14ac:dyDescent="0.25">
      <c r="A224" s="1"/>
      <c r="B224" s="1"/>
    </row>
    <row r="225" spans="1:2" x14ac:dyDescent="0.25">
      <c r="A225" s="1"/>
      <c r="B225" s="1"/>
    </row>
    <row r="226" spans="1:2" x14ac:dyDescent="0.25">
      <c r="A226" s="1"/>
      <c r="B226" s="1"/>
    </row>
    <row r="227" spans="1:2" x14ac:dyDescent="0.25">
      <c r="A227" s="1"/>
      <c r="B227" s="1"/>
    </row>
    <row r="228" spans="1:2" x14ac:dyDescent="0.25">
      <c r="A228" s="1"/>
      <c r="B228" s="1"/>
    </row>
    <row r="229" spans="1:2" x14ac:dyDescent="0.25">
      <c r="A229" s="1"/>
      <c r="B229" s="1"/>
    </row>
    <row r="230" spans="1:2" x14ac:dyDescent="0.25">
      <c r="A230" s="1"/>
      <c r="B230" s="1"/>
    </row>
    <row r="231" spans="1:2" x14ac:dyDescent="0.25">
      <c r="A231" s="1"/>
      <c r="B231" s="1"/>
    </row>
    <row r="232" spans="1:2" x14ac:dyDescent="0.25">
      <c r="A232" s="1"/>
      <c r="B232" s="1"/>
    </row>
    <row r="233" spans="1:2" x14ac:dyDescent="0.25">
      <c r="A233" s="1"/>
      <c r="B233" s="1"/>
    </row>
    <row r="234" spans="1:2" x14ac:dyDescent="0.25">
      <c r="A234" s="1"/>
      <c r="B234" s="1"/>
    </row>
    <row r="235" spans="1:2" x14ac:dyDescent="0.25">
      <c r="A235" s="1"/>
      <c r="B235" s="1"/>
    </row>
    <row r="236" spans="1:2" x14ac:dyDescent="0.25">
      <c r="A236" s="1"/>
      <c r="B236" s="1"/>
    </row>
    <row r="237" spans="1:2" x14ac:dyDescent="0.25">
      <c r="A237" s="1"/>
      <c r="B237" s="1"/>
    </row>
    <row r="238" spans="1:2" x14ac:dyDescent="0.25">
      <c r="A238" s="1"/>
      <c r="B238" s="1"/>
    </row>
    <row r="239" spans="1:2" x14ac:dyDescent="0.25">
      <c r="A239" s="1"/>
      <c r="B239" s="1"/>
    </row>
    <row r="240" spans="1:2" x14ac:dyDescent="0.25">
      <c r="A240" s="1"/>
      <c r="B240" s="1"/>
    </row>
    <row r="241" spans="1:2" x14ac:dyDescent="0.25">
      <c r="A241" s="1"/>
      <c r="B241" s="1"/>
    </row>
    <row r="242" spans="1:2" x14ac:dyDescent="0.25">
      <c r="A242" s="1"/>
      <c r="B242" s="1"/>
    </row>
    <row r="243" spans="1:2" x14ac:dyDescent="0.25">
      <c r="A243" s="1"/>
      <c r="B243" s="1"/>
    </row>
    <row r="244" spans="1:2" x14ac:dyDescent="0.25">
      <c r="A244" s="1"/>
      <c r="B244" s="1"/>
    </row>
    <row r="245" spans="1:2" x14ac:dyDescent="0.25">
      <c r="A245" s="1"/>
      <c r="B245" s="1"/>
    </row>
    <row r="246" spans="1:2" x14ac:dyDescent="0.25">
      <c r="A246" s="1"/>
      <c r="B246" s="1"/>
    </row>
    <row r="247" spans="1:2" x14ac:dyDescent="0.25">
      <c r="A247" s="1"/>
      <c r="B247" s="1"/>
    </row>
    <row r="248" spans="1:2" x14ac:dyDescent="0.25">
      <c r="A248" s="1"/>
      <c r="B248" s="1"/>
    </row>
    <row r="249" spans="1:2" x14ac:dyDescent="0.25">
      <c r="A249" s="1"/>
      <c r="B249" s="1"/>
    </row>
    <row r="250" spans="1:2" x14ac:dyDescent="0.25">
      <c r="A250" s="1"/>
      <c r="B250" s="1"/>
    </row>
    <row r="251" spans="1:2" x14ac:dyDescent="0.25">
      <c r="A251" s="1"/>
      <c r="B251" s="1"/>
    </row>
    <row r="252" spans="1:2" x14ac:dyDescent="0.25">
      <c r="A252" s="1"/>
      <c r="B252" s="1"/>
    </row>
    <row r="253" spans="1:2" x14ac:dyDescent="0.25">
      <c r="A253" s="1"/>
      <c r="B253" s="1"/>
    </row>
    <row r="254" spans="1:2" x14ac:dyDescent="0.25">
      <c r="A254" s="1"/>
      <c r="B254" s="1"/>
    </row>
    <row r="255" spans="1:2" x14ac:dyDescent="0.25">
      <c r="A255" s="1"/>
      <c r="B255" s="1"/>
    </row>
    <row r="256" spans="1:2" x14ac:dyDescent="0.25">
      <c r="A256" s="1"/>
      <c r="B256" s="1"/>
    </row>
    <row r="257" spans="1:2" x14ac:dyDescent="0.25">
      <c r="A257" s="1"/>
      <c r="B257" s="1"/>
    </row>
    <row r="258" spans="1:2" x14ac:dyDescent="0.25">
      <c r="A258" s="1"/>
      <c r="B258" s="1"/>
    </row>
    <row r="259" spans="1:2" x14ac:dyDescent="0.25">
      <c r="A259" s="1"/>
      <c r="B259" s="1"/>
    </row>
    <row r="260" spans="1:2" x14ac:dyDescent="0.25">
      <c r="A260" s="1"/>
      <c r="B260" s="1"/>
    </row>
    <row r="261" spans="1:2" x14ac:dyDescent="0.25">
      <c r="A261" s="1"/>
      <c r="B261" s="1"/>
    </row>
    <row r="262" spans="1:2" x14ac:dyDescent="0.25">
      <c r="A262" s="1"/>
      <c r="B262" s="1"/>
    </row>
    <row r="263" spans="1:2" x14ac:dyDescent="0.25">
      <c r="A263" s="1"/>
      <c r="B263" s="1"/>
    </row>
    <row r="264" spans="1:2" x14ac:dyDescent="0.25">
      <c r="A264" s="1"/>
      <c r="B264" s="1"/>
    </row>
    <row r="265" spans="1:2" x14ac:dyDescent="0.25">
      <c r="A265" s="1"/>
      <c r="B265" s="1"/>
    </row>
    <row r="266" spans="1:2" x14ac:dyDescent="0.25">
      <c r="A266" s="1"/>
      <c r="B266" s="1"/>
    </row>
    <row r="267" spans="1:2" x14ac:dyDescent="0.25">
      <c r="A267" s="1"/>
      <c r="B267" s="1"/>
    </row>
    <row r="268" spans="1:2" x14ac:dyDescent="0.25">
      <c r="A268" s="1"/>
      <c r="B268" s="1"/>
    </row>
    <row r="269" spans="1:2" x14ac:dyDescent="0.25">
      <c r="A269" s="1"/>
      <c r="B269" s="1"/>
    </row>
    <row r="270" spans="1:2" x14ac:dyDescent="0.25">
      <c r="A270" s="1"/>
      <c r="B270" s="1"/>
    </row>
    <row r="271" spans="1:2" x14ac:dyDescent="0.25">
      <c r="A271" s="1"/>
      <c r="B271" s="1"/>
    </row>
    <row r="272" spans="1:2" x14ac:dyDescent="0.25">
      <c r="A272" s="1"/>
      <c r="B272" s="1"/>
    </row>
    <row r="273" spans="1:2" x14ac:dyDescent="0.25">
      <c r="A273" s="1"/>
      <c r="B273" s="1"/>
    </row>
    <row r="274" spans="1:2" x14ac:dyDescent="0.25">
      <c r="A274" s="1"/>
      <c r="B274" s="1"/>
    </row>
    <row r="275" spans="1:2" x14ac:dyDescent="0.25">
      <c r="A275" s="1"/>
      <c r="B275" s="1"/>
    </row>
    <row r="276" spans="1:2" x14ac:dyDescent="0.25">
      <c r="A276" s="1"/>
      <c r="B276" s="1"/>
    </row>
    <row r="277" spans="1:2" x14ac:dyDescent="0.25">
      <c r="A277" s="1"/>
      <c r="B277" s="1"/>
    </row>
    <row r="278" spans="1:2" x14ac:dyDescent="0.25">
      <c r="A278" s="1"/>
      <c r="B278" s="1"/>
    </row>
    <row r="279" spans="1:2" x14ac:dyDescent="0.25">
      <c r="A279" s="1"/>
      <c r="B279" s="1"/>
    </row>
    <row r="280" spans="1:2" x14ac:dyDescent="0.25">
      <c r="A280" s="1"/>
      <c r="B280" s="1"/>
    </row>
    <row r="281" spans="1:2" x14ac:dyDescent="0.25">
      <c r="A281" s="1"/>
      <c r="B281" s="1"/>
    </row>
    <row r="282" spans="1:2" x14ac:dyDescent="0.25">
      <c r="A282" s="1"/>
      <c r="B282" s="1"/>
    </row>
    <row r="283" spans="1:2" x14ac:dyDescent="0.25">
      <c r="A283" s="1"/>
      <c r="B283" s="1"/>
    </row>
    <row r="284" spans="1:2" x14ac:dyDescent="0.25">
      <c r="A284" s="1"/>
      <c r="B284" s="1"/>
    </row>
    <row r="285" spans="1:2" x14ac:dyDescent="0.25">
      <c r="A285" s="1"/>
      <c r="B285" s="1"/>
    </row>
    <row r="286" spans="1:2" x14ac:dyDescent="0.25">
      <c r="A286" s="1"/>
      <c r="B286" s="1"/>
    </row>
    <row r="287" spans="1:2" x14ac:dyDescent="0.25">
      <c r="A287" s="1"/>
      <c r="B287" s="1"/>
    </row>
    <row r="288" spans="1:2" x14ac:dyDescent="0.25">
      <c r="A288" s="1"/>
      <c r="B288" s="1"/>
    </row>
    <row r="289" spans="1:2" x14ac:dyDescent="0.25">
      <c r="A289" s="1"/>
      <c r="B289" s="1"/>
    </row>
    <row r="290" spans="1:2" x14ac:dyDescent="0.25">
      <c r="A290" s="1"/>
      <c r="B290" s="1"/>
    </row>
    <row r="291" spans="1:2" x14ac:dyDescent="0.25">
      <c r="A291" s="1"/>
      <c r="B291" s="1"/>
    </row>
    <row r="292" spans="1:2" x14ac:dyDescent="0.25">
      <c r="A292" s="1"/>
      <c r="B292" s="1"/>
    </row>
    <row r="293" spans="1:2" x14ac:dyDescent="0.25">
      <c r="A293" s="1"/>
      <c r="B293" s="1"/>
    </row>
    <row r="294" spans="1:2" x14ac:dyDescent="0.25">
      <c r="A294" s="1"/>
      <c r="B294" s="1"/>
    </row>
    <row r="295" spans="1:2" x14ac:dyDescent="0.25">
      <c r="A295" s="1"/>
      <c r="B295" s="1"/>
    </row>
    <row r="296" spans="1:2" x14ac:dyDescent="0.25">
      <c r="A296" s="1"/>
      <c r="B296" s="1"/>
    </row>
    <row r="297" spans="1:2" x14ac:dyDescent="0.25">
      <c r="A297" s="1"/>
      <c r="B297" s="1"/>
    </row>
    <row r="298" spans="1:2" x14ac:dyDescent="0.25">
      <c r="A298" s="1"/>
      <c r="B298" s="1"/>
    </row>
    <row r="299" spans="1:2" x14ac:dyDescent="0.25">
      <c r="A299" s="1"/>
      <c r="B299" s="1">
        <v>0</v>
      </c>
    </row>
    <row r="300" spans="1:2" x14ac:dyDescent="0.25">
      <c r="A300" s="1"/>
      <c r="B300" s="1"/>
    </row>
    <row r="301" spans="1:2" x14ac:dyDescent="0.25">
      <c r="A301" s="1"/>
      <c r="B301" s="1"/>
    </row>
    <row r="302" spans="1:2" x14ac:dyDescent="0.25">
      <c r="A302" s="1"/>
      <c r="B302" s="1"/>
    </row>
    <row r="303" spans="1:2" x14ac:dyDescent="0.25">
      <c r="A303" s="1"/>
      <c r="B303" s="1"/>
    </row>
    <row r="304" spans="1:2" x14ac:dyDescent="0.25">
      <c r="A304" s="1"/>
      <c r="B304" s="1"/>
    </row>
    <row r="305" spans="1:2" x14ac:dyDescent="0.25">
      <c r="A305" s="1"/>
      <c r="B305" s="1"/>
    </row>
    <row r="306" spans="1:2" x14ac:dyDescent="0.25">
      <c r="A306" s="1"/>
      <c r="B306" s="1"/>
    </row>
    <row r="307" spans="1:2" x14ac:dyDescent="0.25">
      <c r="A307" s="1"/>
      <c r="B307" s="1"/>
    </row>
    <row r="308" spans="1:2" x14ac:dyDescent="0.25">
      <c r="A308" s="1"/>
      <c r="B308" s="1"/>
    </row>
    <row r="309" spans="1:2" x14ac:dyDescent="0.25">
      <c r="A309" s="1"/>
      <c r="B309" s="1"/>
    </row>
    <row r="310" spans="1:2" x14ac:dyDescent="0.25">
      <c r="A310" s="1"/>
      <c r="B310" s="1"/>
    </row>
  </sheetData>
  <sheetProtection algorithmName="SHA-512" hashValue="0UTkXl/nrjhuTDE8N1/JcC4Ota12vSwdGLSdUdwtwlO0M5B3vTorxbB0/H/exl+IONNx2Ky/1Lw/aPo91DphOw==" saltValue="SaeMyr7Vp/nN941QnJJmFg==" spinCount="100000" sheet="1" objects="1" scenarios="1"/>
  <protectedRanges>
    <protectedRange algorithmName="SHA-512" hashValue="sY7ta5ktDEenKa/DNp+TGfCdK53kzZdAC5dvnBKMSWUjvi9sagPVZLKgoMs8XeQLMbXP6Y4BL01jD5+FFwhqzA==" saltValue="wHd5P5sLg8AM1s0tLZowVg==" spinCount="100000" sqref="G5 O4:P4 H4:N8 O5:R8" name="Compañia"/>
  </protectedRanges>
  <mergeCells count="18">
    <mergeCell ref="R11:R12"/>
    <mergeCell ref="B11:B12"/>
    <mergeCell ref="Q11:Q12"/>
    <mergeCell ref="E11:E12"/>
    <mergeCell ref="F11:F12"/>
    <mergeCell ref="J11:J12"/>
    <mergeCell ref="K11:K12"/>
    <mergeCell ref="G5:J5"/>
    <mergeCell ref="O10:P10"/>
    <mergeCell ref="C11:C12"/>
    <mergeCell ref="H11:H12"/>
    <mergeCell ref="D11:D12"/>
    <mergeCell ref="G11:G12"/>
    <mergeCell ref="N11:N12"/>
    <mergeCell ref="O11:P11"/>
    <mergeCell ref="L11:L12"/>
    <mergeCell ref="M11:M12"/>
    <mergeCell ref="I11:I12"/>
  </mergeCells>
  <dataValidations count="1">
    <dataValidation type="textLength" operator="equal" allowBlank="1" showInputMessage="1" showErrorMessage="1" errorTitle="CEP inválido" error="deve ser preenchido com 8 caracteres" sqref="N13:N112" xr:uid="{C9A2028A-F153-4103-904A-8CAC6A722144}">
      <formula1>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validar" altText="Validar">
                <anchor moveWithCells="1" sizeWithCells="1">
                  <from>
                    <xdr:col>10</xdr:col>
                    <xdr:colOff>695325</xdr:colOff>
                    <xdr:row>3</xdr:row>
                    <xdr:rowOff>180975</xdr:rowOff>
                  </from>
                  <to>
                    <xdr:col>12</xdr:col>
                    <xdr:colOff>114300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3D099617-5C02-4683-87FD-B357846091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1"/>
              <x14:cfIcon iconSet="3Symbols2" iconId="2"/>
            </x14:iconSet>
          </x14:cfRule>
          <xm:sqref>B13:B36</xm:sqref>
        </x14:conditionalFormatting>
        <x14:conditionalFormatting xmlns:xm="http://schemas.microsoft.com/office/excel/2006/main">
          <x14:cfRule type="iconSet" priority="2" id="{02BECA9B-589F-406D-AD53-CD4378DC1A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1"/>
              <x14:cfIcon iconSet="3Symbols2" iconId="2"/>
            </x14:iconSet>
          </x14:cfRule>
          <xm:sqref>B37:B109</xm:sqref>
        </x14:conditionalFormatting>
        <x14:conditionalFormatting xmlns:xm="http://schemas.microsoft.com/office/excel/2006/main">
          <x14:cfRule type="iconSet" priority="1" id="{BAD92D6F-425B-44CD-AEAD-C47FF8CE49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1"/>
              <x14:cfIcon iconSet="3Symbols2" iconId="2"/>
            </x14:iconSet>
          </x14:cfRule>
          <xm:sqref>B110:B112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Validacion!$D$4:$D$30</xm:f>
          </x14:formula1>
          <xm:sqref>J13:J112</xm:sqref>
        </x14:dataValidation>
        <x14:dataValidation type="list" allowBlank="1" showInputMessage="1" showErrorMessage="1" xr:uid="{00000000-0002-0000-0000-000001000000}">
          <x14:formula1>
            <xm:f>Validacion!$B$4:$B$202</xm:f>
          </x14:formula1>
          <xm:sqref>H13:H112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T223"/>
  <sheetViews>
    <sheetView topLeftCell="A145" workbookViewId="0">
      <selection activeCell="C128" sqref="C128"/>
    </sheetView>
  </sheetViews>
  <sheetFormatPr baseColWidth="10" defaultColWidth="11.42578125" defaultRowHeight="15" x14ac:dyDescent="0.25"/>
  <cols>
    <col min="1" max="1" width="7.140625" customWidth="1"/>
    <col min="2" max="2" width="34.85546875" bestFit="1" customWidth="1"/>
    <col min="3" max="3" width="34.85546875" customWidth="1"/>
    <col min="4" max="4" width="19.140625" bestFit="1" customWidth="1"/>
    <col min="5" max="5" width="19.140625" customWidth="1"/>
    <col min="6" max="6" width="34.7109375" customWidth="1"/>
    <col min="7" max="7" width="17.140625" customWidth="1"/>
    <col min="8" max="8" width="34.85546875" bestFit="1" customWidth="1"/>
  </cols>
  <sheetData>
    <row r="2" spans="2:20" x14ac:dyDescent="0.25">
      <c r="B2" t="s">
        <v>408</v>
      </c>
      <c r="D2" t="s">
        <v>409</v>
      </c>
      <c r="F2" t="s">
        <v>464</v>
      </c>
      <c r="H2" t="s">
        <v>466</v>
      </c>
      <c r="J2" t="s">
        <v>474</v>
      </c>
      <c r="L2" t="s">
        <v>477</v>
      </c>
      <c r="S2" t="s">
        <v>409</v>
      </c>
    </row>
    <row r="3" spans="2:20" x14ac:dyDescent="0.25">
      <c r="B3" t="s">
        <v>12</v>
      </c>
      <c r="C3" t="s">
        <v>11</v>
      </c>
      <c r="D3" t="s">
        <v>12</v>
      </c>
      <c r="E3" t="s">
        <v>11</v>
      </c>
      <c r="F3" t="s">
        <v>465</v>
      </c>
      <c r="H3" t="s">
        <v>12</v>
      </c>
      <c r="I3" t="s">
        <v>11</v>
      </c>
      <c r="J3" t="s">
        <v>12</v>
      </c>
      <c r="K3" t="s">
        <v>11</v>
      </c>
      <c r="S3" t="s">
        <v>12</v>
      </c>
      <c r="T3" t="s">
        <v>11</v>
      </c>
    </row>
    <row r="4" spans="2:20" x14ac:dyDescent="0.25">
      <c r="B4" t="s">
        <v>308</v>
      </c>
      <c r="C4" t="s">
        <v>13</v>
      </c>
      <c r="D4" t="s">
        <v>410</v>
      </c>
      <c r="E4" t="s">
        <v>410</v>
      </c>
      <c r="F4" t="s">
        <v>481</v>
      </c>
      <c r="G4" t="s">
        <v>469</v>
      </c>
      <c r="H4" t="s">
        <v>308</v>
      </c>
      <c r="I4" t="s">
        <v>13</v>
      </c>
      <c r="J4" t="s">
        <v>469</v>
      </c>
      <c r="K4" t="s">
        <v>476</v>
      </c>
      <c r="L4" t="s">
        <v>468</v>
      </c>
      <c r="M4" t="s">
        <v>478</v>
      </c>
      <c r="S4" t="s">
        <v>437</v>
      </c>
      <c r="T4" t="s">
        <v>410</v>
      </c>
    </row>
    <row r="5" spans="2:20" x14ac:dyDescent="0.25">
      <c r="B5" t="s">
        <v>309</v>
      </c>
      <c r="C5" t="s">
        <v>14</v>
      </c>
      <c r="D5" t="s">
        <v>411</v>
      </c>
      <c r="E5" t="s">
        <v>411</v>
      </c>
      <c r="F5" t="s">
        <v>482</v>
      </c>
      <c r="G5" t="s">
        <v>469</v>
      </c>
      <c r="H5" t="s">
        <v>309</v>
      </c>
      <c r="I5" t="s">
        <v>14</v>
      </c>
      <c r="J5" t="s">
        <v>473</v>
      </c>
      <c r="K5" t="s">
        <v>475</v>
      </c>
      <c r="L5" t="s">
        <v>480</v>
      </c>
      <c r="M5" t="s">
        <v>479</v>
      </c>
      <c r="S5" t="s">
        <v>438</v>
      </c>
      <c r="T5" t="s">
        <v>411</v>
      </c>
    </row>
    <row r="6" spans="2:20" x14ac:dyDescent="0.25">
      <c r="B6" t="s">
        <v>310</v>
      </c>
      <c r="C6" t="s">
        <v>15</v>
      </c>
      <c r="D6" t="s">
        <v>412</v>
      </c>
      <c r="E6" t="s">
        <v>412</v>
      </c>
      <c r="F6" t="s">
        <v>483</v>
      </c>
      <c r="G6" t="s">
        <v>469</v>
      </c>
      <c r="H6" t="s">
        <v>310</v>
      </c>
      <c r="I6" t="s">
        <v>15</v>
      </c>
      <c r="S6" t="s">
        <v>439</v>
      </c>
      <c r="T6" t="s">
        <v>412</v>
      </c>
    </row>
    <row r="7" spans="2:20" x14ac:dyDescent="0.25">
      <c r="B7" t="s">
        <v>211</v>
      </c>
      <c r="C7" t="s">
        <v>16</v>
      </c>
      <c r="D7" t="s">
        <v>413</v>
      </c>
      <c r="E7" t="s">
        <v>413</v>
      </c>
      <c r="F7" t="s">
        <v>485</v>
      </c>
      <c r="G7" t="s">
        <v>469</v>
      </c>
      <c r="H7" t="s">
        <v>211</v>
      </c>
      <c r="I7" t="s">
        <v>16</v>
      </c>
      <c r="S7" t="s">
        <v>440</v>
      </c>
      <c r="T7" t="s">
        <v>413</v>
      </c>
    </row>
    <row r="8" spans="2:20" x14ac:dyDescent="0.25">
      <c r="B8" t="s">
        <v>212</v>
      </c>
      <c r="C8" t="s">
        <v>17</v>
      </c>
      <c r="D8" t="s">
        <v>414</v>
      </c>
      <c r="E8" t="s">
        <v>414</v>
      </c>
      <c r="F8" t="s">
        <v>484</v>
      </c>
      <c r="G8" t="s">
        <v>469</v>
      </c>
      <c r="H8" t="s">
        <v>212</v>
      </c>
      <c r="I8" t="s">
        <v>17</v>
      </c>
      <c r="S8" t="s">
        <v>441</v>
      </c>
      <c r="T8" t="s">
        <v>414</v>
      </c>
    </row>
    <row r="9" spans="2:20" x14ac:dyDescent="0.25">
      <c r="B9" t="s">
        <v>213</v>
      </c>
      <c r="C9" t="s">
        <v>18</v>
      </c>
      <c r="D9" t="s">
        <v>415</v>
      </c>
      <c r="E9" t="s">
        <v>415</v>
      </c>
      <c r="F9" t="s">
        <v>504</v>
      </c>
      <c r="G9" t="s">
        <v>469</v>
      </c>
      <c r="H9" t="s">
        <v>213</v>
      </c>
      <c r="I9" t="s">
        <v>18</v>
      </c>
      <c r="S9" t="s">
        <v>442</v>
      </c>
      <c r="T9" t="s">
        <v>415</v>
      </c>
    </row>
    <row r="10" spans="2:20" x14ac:dyDescent="0.25">
      <c r="B10" t="s">
        <v>214</v>
      </c>
      <c r="C10" t="s">
        <v>19</v>
      </c>
      <c r="D10" t="s">
        <v>416</v>
      </c>
      <c r="E10" t="s">
        <v>416</v>
      </c>
      <c r="F10" t="s">
        <v>505</v>
      </c>
      <c r="G10" t="s">
        <v>469</v>
      </c>
      <c r="H10" t="s">
        <v>214</v>
      </c>
      <c r="I10" t="s">
        <v>19</v>
      </c>
      <c r="S10" t="s">
        <v>443</v>
      </c>
      <c r="T10" t="s">
        <v>416</v>
      </c>
    </row>
    <row r="11" spans="2:20" x14ac:dyDescent="0.25">
      <c r="B11" t="s">
        <v>311</v>
      </c>
      <c r="C11" t="s">
        <v>20</v>
      </c>
      <c r="D11" t="s">
        <v>417</v>
      </c>
      <c r="E11" t="s">
        <v>417</v>
      </c>
      <c r="F11" t="s">
        <v>506</v>
      </c>
      <c r="G11" t="s">
        <v>469</v>
      </c>
      <c r="H11" t="s">
        <v>311</v>
      </c>
      <c r="I11" t="s">
        <v>20</v>
      </c>
      <c r="S11" t="s">
        <v>444</v>
      </c>
      <c r="T11" t="s">
        <v>417</v>
      </c>
    </row>
    <row r="12" spans="2:20" x14ac:dyDescent="0.25">
      <c r="B12" t="s">
        <v>312</v>
      </c>
      <c r="C12" t="s">
        <v>21</v>
      </c>
      <c r="D12" t="s">
        <v>418</v>
      </c>
      <c r="E12" t="s">
        <v>418</v>
      </c>
      <c r="G12" t="s">
        <v>469</v>
      </c>
      <c r="H12" t="s">
        <v>312</v>
      </c>
      <c r="I12" t="s">
        <v>21</v>
      </c>
      <c r="S12" t="s">
        <v>445</v>
      </c>
      <c r="T12" t="s">
        <v>418</v>
      </c>
    </row>
    <row r="13" spans="2:20" x14ac:dyDescent="0.25">
      <c r="B13" t="s">
        <v>215</v>
      </c>
      <c r="C13" t="s">
        <v>22</v>
      </c>
      <c r="D13" t="s">
        <v>419</v>
      </c>
      <c r="E13" t="s">
        <v>419</v>
      </c>
      <c r="G13" t="s">
        <v>469</v>
      </c>
      <c r="H13" t="s">
        <v>215</v>
      </c>
      <c r="I13" t="s">
        <v>22</v>
      </c>
      <c r="S13" t="s">
        <v>446</v>
      </c>
      <c r="T13" t="s">
        <v>419</v>
      </c>
    </row>
    <row r="14" spans="2:20" x14ac:dyDescent="0.25">
      <c r="B14" t="s">
        <v>313</v>
      </c>
      <c r="C14" t="s">
        <v>23</v>
      </c>
      <c r="D14" t="s">
        <v>420</v>
      </c>
      <c r="E14" t="s">
        <v>420</v>
      </c>
      <c r="G14" t="s">
        <v>469</v>
      </c>
      <c r="H14" t="s">
        <v>313</v>
      </c>
      <c r="I14" t="s">
        <v>23</v>
      </c>
      <c r="S14" t="s">
        <v>447</v>
      </c>
      <c r="T14" t="s">
        <v>420</v>
      </c>
    </row>
    <row r="15" spans="2:20" x14ac:dyDescent="0.25">
      <c r="B15" t="s">
        <v>216</v>
      </c>
      <c r="C15" t="s">
        <v>24</v>
      </c>
      <c r="D15" t="s">
        <v>421</v>
      </c>
      <c r="E15" t="s">
        <v>421</v>
      </c>
      <c r="G15" t="s">
        <v>469</v>
      </c>
      <c r="H15" t="s">
        <v>216</v>
      </c>
      <c r="I15" t="s">
        <v>24</v>
      </c>
      <c r="S15" t="s">
        <v>448</v>
      </c>
      <c r="T15" t="s">
        <v>421</v>
      </c>
    </row>
    <row r="16" spans="2:20" x14ac:dyDescent="0.25">
      <c r="B16" t="s">
        <v>314</v>
      </c>
      <c r="C16" t="s">
        <v>25</v>
      </c>
      <c r="D16" t="s">
        <v>422</v>
      </c>
      <c r="E16" t="s">
        <v>422</v>
      </c>
      <c r="G16" t="s">
        <v>469</v>
      </c>
      <c r="H16" t="s">
        <v>314</v>
      </c>
      <c r="I16" t="s">
        <v>25</v>
      </c>
      <c r="S16" t="s">
        <v>449</v>
      </c>
      <c r="T16" t="s">
        <v>422</v>
      </c>
    </row>
    <row r="17" spans="2:20" x14ac:dyDescent="0.25">
      <c r="B17" t="s">
        <v>315</v>
      </c>
      <c r="C17" t="s">
        <v>26</v>
      </c>
      <c r="D17" t="s">
        <v>423</v>
      </c>
      <c r="E17" t="s">
        <v>423</v>
      </c>
      <c r="G17" t="s">
        <v>469</v>
      </c>
      <c r="H17" t="s">
        <v>315</v>
      </c>
      <c r="I17" t="s">
        <v>26</v>
      </c>
      <c r="S17" t="s">
        <v>450</v>
      </c>
      <c r="T17" t="s">
        <v>423</v>
      </c>
    </row>
    <row r="18" spans="2:20" x14ac:dyDescent="0.25">
      <c r="B18" t="s">
        <v>316</v>
      </c>
      <c r="C18" t="s">
        <v>27</v>
      </c>
      <c r="D18" t="s">
        <v>424</v>
      </c>
      <c r="E18" t="s">
        <v>424</v>
      </c>
      <c r="G18" t="s">
        <v>469</v>
      </c>
      <c r="H18" t="s">
        <v>316</v>
      </c>
      <c r="I18" t="s">
        <v>27</v>
      </c>
      <c r="S18" t="s">
        <v>451</v>
      </c>
      <c r="T18" t="s">
        <v>424</v>
      </c>
    </row>
    <row r="19" spans="2:20" x14ac:dyDescent="0.25">
      <c r="B19" t="s">
        <v>217</v>
      </c>
      <c r="C19" t="s">
        <v>28</v>
      </c>
      <c r="D19" t="s">
        <v>425</v>
      </c>
      <c r="E19" t="s">
        <v>425</v>
      </c>
      <c r="G19" t="s">
        <v>469</v>
      </c>
      <c r="H19" t="s">
        <v>217</v>
      </c>
      <c r="I19" t="s">
        <v>28</v>
      </c>
      <c r="S19" t="s">
        <v>452</v>
      </c>
      <c r="T19" t="s">
        <v>425</v>
      </c>
    </row>
    <row r="20" spans="2:20" x14ac:dyDescent="0.25">
      <c r="B20" t="s">
        <v>218</v>
      </c>
      <c r="C20" t="s">
        <v>29</v>
      </c>
      <c r="D20" t="s">
        <v>426</v>
      </c>
      <c r="E20" t="s">
        <v>426</v>
      </c>
      <c r="G20" t="s">
        <v>469</v>
      </c>
      <c r="H20" t="s">
        <v>218</v>
      </c>
      <c r="I20" t="s">
        <v>29</v>
      </c>
      <c r="S20" t="s">
        <v>453</v>
      </c>
      <c r="T20" t="s">
        <v>426</v>
      </c>
    </row>
    <row r="21" spans="2:20" x14ac:dyDescent="0.25">
      <c r="B21" t="s">
        <v>219</v>
      </c>
      <c r="C21" t="s">
        <v>30</v>
      </c>
      <c r="D21" t="s">
        <v>427</v>
      </c>
      <c r="E21" t="s">
        <v>427</v>
      </c>
      <c r="G21" t="s">
        <v>469</v>
      </c>
      <c r="H21" t="s">
        <v>219</v>
      </c>
      <c r="I21" t="s">
        <v>30</v>
      </c>
      <c r="S21" t="s">
        <v>454</v>
      </c>
      <c r="T21" t="s">
        <v>427</v>
      </c>
    </row>
    <row r="22" spans="2:20" x14ac:dyDescent="0.25">
      <c r="B22" t="s">
        <v>220</v>
      </c>
      <c r="C22" t="s">
        <v>31</v>
      </c>
      <c r="D22" t="s">
        <v>428</v>
      </c>
      <c r="E22" t="s">
        <v>428</v>
      </c>
      <c r="G22" t="s">
        <v>469</v>
      </c>
      <c r="H22" t="s">
        <v>220</v>
      </c>
      <c r="I22" t="s">
        <v>31</v>
      </c>
      <c r="S22" t="s">
        <v>455</v>
      </c>
      <c r="T22" t="s">
        <v>428</v>
      </c>
    </row>
    <row r="23" spans="2:20" x14ac:dyDescent="0.25">
      <c r="B23" t="s">
        <v>221</v>
      </c>
      <c r="C23" t="s">
        <v>32</v>
      </c>
      <c r="D23" t="s">
        <v>429</v>
      </c>
      <c r="E23" t="s">
        <v>429</v>
      </c>
      <c r="G23" t="s">
        <v>469</v>
      </c>
      <c r="H23" t="s">
        <v>512</v>
      </c>
      <c r="I23" t="s">
        <v>32</v>
      </c>
      <c r="S23" t="s">
        <v>456</v>
      </c>
      <c r="T23" t="s">
        <v>429</v>
      </c>
    </row>
    <row r="24" spans="2:20" x14ac:dyDescent="0.25">
      <c r="B24" t="s">
        <v>317</v>
      </c>
      <c r="C24" t="s">
        <v>33</v>
      </c>
      <c r="D24" t="s">
        <v>430</v>
      </c>
      <c r="E24" t="s">
        <v>430</v>
      </c>
      <c r="G24" t="s">
        <v>469</v>
      </c>
      <c r="H24" t="s">
        <v>317</v>
      </c>
      <c r="I24" t="s">
        <v>33</v>
      </c>
      <c r="S24" t="s">
        <v>457</v>
      </c>
      <c r="T24" t="s">
        <v>430</v>
      </c>
    </row>
    <row r="25" spans="2:20" x14ac:dyDescent="0.25">
      <c r="B25" t="s">
        <v>222</v>
      </c>
      <c r="C25" t="s">
        <v>34</v>
      </c>
      <c r="D25" t="s">
        <v>431</v>
      </c>
      <c r="E25" t="s">
        <v>431</v>
      </c>
      <c r="G25" t="s">
        <v>469</v>
      </c>
      <c r="H25" t="s">
        <v>222</v>
      </c>
      <c r="I25" t="s">
        <v>34</v>
      </c>
      <c r="S25" t="s">
        <v>458</v>
      </c>
      <c r="T25" t="s">
        <v>431</v>
      </c>
    </row>
    <row r="26" spans="2:20" x14ac:dyDescent="0.25">
      <c r="B26" t="s">
        <v>223</v>
      </c>
      <c r="C26" t="s">
        <v>35</v>
      </c>
      <c r="D26" t="s">
        <v>432</v>
      </c>
      <c r="E26" t="s">
        <v>432</v>
      </c>
      <c r="G26" t="s">
        <v>469</v>
      </c>
      <c r="H26" t="s">
        <v>223</v>
      </c>
      <c r="I26" t="s">
        <v>35</v>
      </c>
      <c r="S26" t="s">
        <v>459</v>
      </c>
      <c r="T26" t="s">
        <v>432</v>
      </c>
    </row>
    <row r="27" spans="2:20" x14ac:dyDescent="0.25">
      <c r="B27" t="s">
        <v>318</v>
      </c>
      <c r="C27" t="s">
        <v>36</v>
      </c>
      <c r="D27" t="s">
        <v>433</v>
      </c>
      <c r="E27" t="s">
        <v>433</v>
      </c>
      <c r="G27" t="s">
        <v>469</v>
      </c>
      <c r="H27" t="s">
        <v>318</v>
      </c>
      <c r="I27" t="s">
        <v>36</v>
      </c>
      <c r="S27" t="s">
        <v>460</v>
      </c>
      <c r="T27" t="s">
        <v>433</v>
      </c>
    </row>
    <row r="28" spans="2:20" x14ac:dyDescent="0.25">
      <c r="B28" t="s">
        <v>319</v>
      </c>
      <c r="C28" t="s">
        <v>37</v>
      </c>
      <c r="D28" t="s">
        <v>434</v>
      </c>
      <c r="E28" t="s">
        <v>434</v>
      </c>
      <c r="G28" t="s">
        <v>469</v>
      </c>
      <c r="H28" t="s">
        <v>319</v>
      </c>
      <c r="I28" t="s">
        <v>37</v>
      </c>
      <c r="S28" t="s">
        <v>461</v>
      </c>
      <c r="T28" t="s">
        <v>434</v>
      </c>
    </row>
    <row r="29" spans="2:20" x14ac:dyDescent="0.25">
      <c r="B29" t="s">
        <v>224</v>
      </c>
      <c r="C29" t="s">
        <v>38</v>
      </c>
      <c r="D29" t="s">
        <v>435</v>
      </c>
      <c r="E29" t="s">
        <v>435</v>
      </c>
      <c r="G29" t="s">
        <v>469</v>
      </c>
      <c r="H29" t="s">
        <v>224</v>
      </c>
      <c r="I29" t="s">
        <v>38</v>
      </c>
      <c r="S29" t="s">
        <v>462</v>
      </c>
      <c r="T29" t="s">
        <v>435</v>
      </c>
    </row>
    <row r="30" spans="2:20" x14ac:dyDescent="0.25">
      <c r="B30" t="s">
        <v>225</v>
      </c>
      <c r="C30" t="s">
        <v>39</v>
      </c>
      <c r="D30" t="s">
        <v>436</v>
      </c>
      <c r="E30" t="s">
        <v>436</v>
      </c>
      <c r="G30" t="s">
        <v>469</v>
      </c>
      <c r="H30" t="s">
        <v>225</v>
      </c>
      <c r="I30" t="s">
        <v>39</v>
      </c>
      <c r="S30" t="s">
        <v>463</v>
      </c>
      <c r="T30" t="s">
        <v>436</v>
      </c>
    </row>
    <row r="31" spans="2:20" x14ac:dyDescent="0.25">
      <c r="B31" t="s">
        <v>226</v>
      </c>
      <c r="C31" t="s">
        <v>40</v>
      </c>
      <c r="G31" t="s">
        <v>469</v>
      </c>
      <c r="H31" t="s">
        <v>226</v>
      </c>
      <c r="I31" t="s">
        <v>40</v>
      </c>
    </row>
    <row r="32" spans="2:20" x14ac:dyDescent="0.25">
      <c r="B32" t="s">
        <v>320</v>
      </c>
      <c r="C32" t="s">
        <v>41</v>
      </c>
      <c r="G32" t="s">
        <v>469</v>
      </c>
      <c r="H32" t="s">
        <v>320</v>
      </c>
      <c r="I32" t="s">
        <v>41</v>
      </c>
    </row>
    <row r="33" spans="2:9" x14ac:dyDescent="0.25">
      <c r="B33" t="s">
        <v>227</v>
      </c>
      <c r="C33" t="s">
        <v>42</v>
      </c>
      <c r="G33" t="s">
        <v>469</v>
      </c>
      <c r="H33" t="s">
        <v>227</v>
      </c>
      <c r="I33" t="s">
        <v>42</v>
      </c>
    </row>
    <row r="34" spans="2:9" x14ac:dyDescent="0.25">
      <c r="B34" t="s">
        <v>228</v>
      </c>
      <c r="C34" t="s">
        <v>43</v>
      </c>
      <c r="G34" t="s">
        <v>469</v>
      </c>
      <c r="H34" t="s">
        <v>228</v>
      </c>
      <c r="I34" t="s">
        <v>43</v>
      </c>
    </row>
    <row r="35" spans="2:9" x14ac:dyDescent="0.25">
      <c r="B35" t="s">
        <v>321</v>
      </c>
      <c r="C35" t="s">
        <v>44</v>
      </c>
      <c r="G35" t="s">
        <v>469</v>
      </c>
      <c r="H35" t="s">
        <v>321</v>
      </c>
      <c r="I35" t="s">
        <v>44</v>
      </c>
    </row>
    <row r="36" spans="2:9" x14ac:dyDescent="0.25">
      <c r="B36" t="s">
        <v>229</v>
      </c>
      <c r="C36" t="s">
        <v>45</v>
      </c>
      <c r="G36" t="s">
        <v>469</v>
      </c>
      <c r="H36" t="s">
        <v>229</v>
      </c>
      <c r="I36" t="s">
        <v>45</v>
      </c>
    </row>
    <row r="37" spans="2:9" x14ac:dyDescent="0.25">
      <c r="B37" t="s">
        <v>230</v>
      </c>
      <c r="C37" t="s">
        <v>46</v>
      </c>
      <c r="G37" t="s">
        <v>469</v>
      </c>
      <c r="H37" t="s">
        <v>230</v>
      </c>
      <c r="I37" t="s">
        <v>46</v>
      </c>
    </row>
    <row r="38" spans="2:9" x14ac:dyDescent="0.25">
      <c r="B38" t="s">
        <v>322</v>
      </c>
      <c r="C38" t="s">
        <v>47</v>
      </c>
      <c r="G38" t="s">
        <v>469</v>
      </c>
      <c r="H38" t="s">
        <v>322</v>
      </c>
      <c r="I38" t="s">
        <v>47</v>
      </c>
    </row>
    <row r="39" spans="2:9" x14ac:dyDescent="0.25">
      <c r="B39" t="s">
        <v>323</v>
      </c>
      <c r="C39" t="s">
        <v>48</v>
      </c>
      <c r="G39" t="s">
        <v>469</v>
      </c>
      <c r="H39" t="s">
        <v>323</v>
      </c>
      <c r="I39" t="s">
        <v>48</v>
      </c>
    </row>
    <row r="40" spans="2:9" x14ac:dyDescent="0.25">
      <c r="B40" t="s">
        <v>231</v>
      </c>
      <c r="C40" t="s">
        <v>49</v>
      </c>
      <c r="G40" t="s">
        <v>469</v>
      </c>
      <c r="H40" t="s">
        <v>231</v>
      </c>
      <c r="I40" t="s">
        <v>49</v>
      </c>
    </row>
    <row r="41" spans="2:9" x14ac:dyDescent="0.25">
      <c r="B41" t="s">
        <v>232</v>
      </c>
      <c r="C41" t="s">
        <v>50</v>
      </c>
      <c r="G41" t="s">
        <v>469</v>
      </c>
      <c r="H41" t="s">
        <v>232</v>
      </c>
      <c r="I41" t="s">
        <v>50</v>
      </c>
    </row>
    <row r="42" spans="2:9" x14ac:dyDescent="0.25">
      <c r="B42" t="s">
        <v>324</v>
      </c>
      <c r="C42" t="s">
        <v>51</v>
      </c>
      <c r="G42" t="s">
        <v>469</v>
      </c>
      <c r="H42" t="s">
        <v>324</v>
      </c>
      <c r="I42" t="s">
        <v>51</v>
      </c>
    </row>
    <row r="43" spans="2:9" x14ac:dyDescent="0.25">
      <c r="B43" t="s">
        <v>233</v>
      </c>
      <c r="C43" t="s">
        <v>52</v>
      </c>
      <c r="G43" t="s">
        <v>469</v>
      </c>
      <c r="H43" t="s">
        <v>233</v>
      </c>
      <c r="I43" t="s">
        <v>52</v>
      </c>
    </row>
    <row r="44" spans="2:9" x14ac:dyDescent="0.25">
      <c r="B44" t="s">
        <v>234</v>
      </c>
      <c r="C44" t="s">
        <v>53</v>
      </c>
      <c r="G44" t="s">
        <v>469</v>
      </c>
      <c r="H44" t="s">
        <v>234</v>
      </c>
      <c r="I44" t="s">
        <v>53</v>
      </c>
    </row>
    <row r="45" spans="2:9" x14ac:dyDescent="0.25">
      <c r="B45" t="s">
        <v>235</v>
      </c>
      <c r="C45" t="s">
        <v>54</v>
      </c>
      <c r="G45" t="s">
        <v>469</v>
      </c>
      <c r="H45" t="s">
        <v>235</v>
      </c>
      <c r="I45" t="s">
        <v>54</v>
      </c>
    </row>
    <row r="46" spans="2:9" x14ac:dyDescent="0.25">
      <c r="B46" t="s">
        <v>236</v>
      </c>
      <c r="C46" t="s">
        <v>55</v>
      </c>
      <c r="G46" t="s">
        <v>469</v>
      </c>
      <c r="H46" t="s">
        <v>236</v>
      </c>
      <c r="I46" t="s">
        <v>55</v>
      </c>
    </row>
    <row r="47" spans="2:9" x14ac:dyDescent="0.25">
      <c r="B47" t="s">
        <v>325</v>
      </c>
      <c r="C47" t="s">
        <v>56</v>
      </c>
      <c r="G47" t="s">
        <v>469</v>
      </c>
      <c r="H47" t="s">
        <v>325</v>
      </c>
      <c r="I47" t="s">
        <v>56</v>
      </c>
    </row>
    <row r="48" spans="2:9" x14ac:dyDescent="0.25">
      <c r="B48" t="s">
        <v>237</v>
      </c>
      <c r="C48" t="s">
        <v>57</v>
      </c>
      <c r="G48" t="s">
        <v>469</v>
      </c>
      <c r="H48" t="s">
        <v>237</v>
      </c>
      <c r="I48" t="s">
        <v>57</v>
      </c>
    </row>
    <row r="49" spans="2:9" x14ac:dyDescent="0.25">
      <c r="B49" t="s">
        <v>238</v>
      </c>
      <c r="C49" t="s">
        <v>58</v>
      </c>
      <c r="G49" t="s">
        <v>469</v>
      </c>
      <c r="H49" t="s">
        <v>238</v>
      </c>
      <c r="I49" t="s">
        <v>58</v>
      </c>
    </row>
    <row r="50" spans="2:9" x14ac:dyDescent="0.25">
      <c r="B50" t="s">
        <v>239</v>
      </c>
      <c r="C50" t="s">
        <v>59</v>
      </c>
      <c r="G50" t="s">
        <v>469</v>
      </c>
      <c r="H50" t="s">
        <v>240</v>
      </c>
      <c r="I50" t="s">
        <v>60</v>
      </c>
    </row>
    <row r="51" spans="2:9" x14ac:dyDescent="0.25">
      <c r="B51" t="s">
        <v>240</v>
      </c>
      <c r="C51" t="s">
        <v>60</v>
      </c>
      <c r="G51" t="s">
        <v>469</v>
      </c>
      <c r="H51" t="s">
        <v>241</v>
      </c>
      <c r="I51" t="s">
        <v>61</v>
      </c>
    </row>
    <row r="52" spans="2:9" x14ac:dyDescent="0.25">
      <c r="B52" t="s">
        <v>241</v>
      </c>
      <c r="C52" t="s">
        <v>61</v>
      </c>
      <c r="G52" t="s">
        <v>469</v>
      </c>
      <c r="H52" t="s">
        <v>242</v>
      </c>
      <c r="I52" t="s">
        <v>62</v>
      </c>
    </row>
    <row r="53" spans="2:9" x14ac:dyDescent="0.25">
      <c r="B53" t="s">
        <v>242</v>
      </c>
      <c r="C53" t="s">
        <v>62</v>
      </c>
      <c r="G53" t="s">
        <v>469</v>
      </c>
      <c r="H53" t="s">
        <v>326</v>
      </c>
      <c r="I53" t="s">
        <v>63</v>
      </c>
    </row>
    <row r="54" spans="2:9" x14ac:dyDescent="0.25">
      <c r="B54" t="s">
        <v>326</v>
      </c>
      <c r="C54" t="s">
        <v>63</v>
      </c>
      <c r="G54" t="s">
        <v>469</v>
      </c>
      <c r="H54" t="s">
        <v>243</v>
      </c>
      <c r="I54" t="s">
        <v>65</v>
      </c>
    </row>
    <row r="55" spans="2:9" x14ac:dyDescent="0.25">
      <c r="B55" t="s">
        <v>243</v>
      </c>
      <c r="C55" t="s">
        <v>64</v>
      </c>
      <c r="G55" t="s">
        <v>469</v>
      </c>
      <c r="H55" t="s">
        <v>244</v>
      </c>
      <c r="I55" t="s">
        <v>66</v>
      </c>
    </row>
    <row r="56" spans="2:9" x14ac:dyDescent="0.25">
      <c r="B56" t="s">
        <v>327</v>
      </c>
      <c r="C56" t="s">
        <v>65</v>
      </c>
      <c r="G56" t="s">
        <v>469</v>
      </c>
      <c r="H56" t="s">
        <v>245</v>
      </c>
      <c r="I56" t="s">
        <v>67</v>
      </c>
    </row>
    <row r="57" spans="2:9" x14ac:dyDescent="0.25">
      <c r="B57" t="s">
        <v>244</v>
      </c>
      <c r="C57" t="s">
        <v>66</v>
      </c>
      <c r="G57" t="s">
        <v>469</v>
      </c>
      <c r="H57" t="s">
        <v>328</v>
      </c>
      <c r="I57" t="s">
        <v>68</v>
      </c>
    </row>
    <row r="58" spans="2:9" x14ac:dyDescent="0.25">
      <c r="B58" t="s">
        <v>245</v>
      </c>
      <c r="C58" t="s">
        <v>67</v>
      </c>
      <c r="G58" t="s">
        <v>469</v>
      </c>
      <c r="H58" t="s">
        <v>246</v>
      </c>
      <c r="I58" t="s">
        <v>69</v>
      </c>
    </row>
    <row r="59" spans="2:9" x14ac:dyDescent="0.25">
      <c r="B59" t="s">
        <v>328</v>
      </c>
      <c r="C59" t="s">
        <v>68</v>
      </c>
      <c r="G59" t="s">
        <v>469</v>
      </c>
      <c r="H59" t="s">
        <v>247</v>
      </c>
      <c r="I59" t="s">
        <v>70</v>
      </c>
    </row>
    <row r="60" spans="2:9" x14ac:dyDescent="0.25">
      <c r="B60" t="s">
        <v>246</v>
      </c>
      <c r="C60" t="s">
        <v>69</v>
      </c>
      <c r="G60" t="s">
        <v>469</v>
      </c>
      <c r="H60" t="s">
        <v>513</v>
      </c>
      <c r="I60" t="s">
        <v>71</v>
      </c>
    </row>
    <row r="61" spans="2:9" x14ac:dyDescent="0.25">
      <c r="B61" t="s">
        <v>247</v>
      </c>
      <c r="C61" t="s">
        <v>70</v>
      </c>
      <c r="G61" t="s">
        <v>469</v>
      </c>
      <c r="H61" t="s">
        <v>248</v>
      </c>
      <c r="I61" t="s">
        <v>72</v>
      </c>
    </row>
    <row r="62" spans="2:9" x14ac:dyDescent="0.25">
      <c r="B62" t="s">
        <v>329</v>
      </c>
      <c r="C62" t="s">
        <v>71</v>
      </c>
      <c r="G62" t="s">
        <v>469</v>
      </c>
      <c r="H62" t="s">
        <v>249</v>
      </c>
      <c r="I62" t="s">
        <v>73</v>
      </c>
    </row>
    <row r="63" spans="2:9" x14ac:dyDescent="0.25">
      <c r="B63" t="s">
        <v>248</v>
      </c>
      <c r="C63" t="s">
        <v>72</v>
      </c>
      <c r="G63" t="s">
        <v>469</v>
      </c>
      <c r="H63" t="s">
        <v>330</v>
      </c>
      <c r="I63" t="s">
        <v>74</v>
      </c>
    </row>
    <row r="64" spans="2:9" x14ac:dyDescent="0.25">
      <c r="B64" t="s">
        <v>249</v>
      </c>
      <c r="C64" t="s">
        <v>73</v>
      </c>
      <c r="G64" t="s">
        <v>469</v>
      </c>
      <c r="H64" t="s">
        <v>331</v>
      </c>
      <c r="I64" t="s">
        <v>75</v>
      </c>
    </row>
    <row r="65" spans="2:9" x14ac:dyDescent="0.25">
      <c r="B65" t="s">
        <v>330</v>
      </c>
      <c r="C65" t="s">
        <v>74</v>
      </c>
      <c r="G65" t="s">
        <v>469</v>
      </c>
      <c r="H65" t="s">
        <v>250</v>
      </c>
      <c r="I65" t="s">
        <v>76</v>
      </c>
    </row>
    <row r="66" spans="2:9" x14ac:dyDescent="0.25">
      <c r="B66" t="s">
        <v>331</v>
      </c>
      <c r="C66" t="s">
        <v>75</v>
      </c>
      <c r="G66" t="s">
        <v>469</v>
      </c>
      <c r="H66" t="s">
        <v>251</v>
      </c>
      <c r="I66" t="s">
        <v>77</v>
      </c>
    </row>
    <row r="67" spans="2:9" x14ac:dyDescent="0.25">
      <c r="B67" t="s">
        <v>250</v>
      </c>
      <c r="C67" t="s">
        <v>76</v>
      </c>
      <c r="G67" t="s">
        <v>469</v>
      </c>
      <c r="H67" t="s">
        <v>332</v>
      </c>
      <c r="I67" t="s">
        <v>78</v>
      </c>
    </row>
    <row r="68" spans="2:9" x14ac:dyDescent="0.25">
      <c r="B68" t="s">
        <v>251</v>
      </c>
      <c r="C68" t="s">
        <v>77</v>
      </c>
      <c r="G68" t="s">
        <v>469</v>
      </c>
      <c r="H68" t="s">
        <v>333</v>
      </c>
      <c r="I68" t="s">
        <v>79</v>
      </c>
    </row>
    <row r="69" spans="2:9" x14ac:dyDescent="0.25">
      <c r="B69" t="s">
        <v>332</v>
      </c>
      <c r="C69" t="s">
        <v>78</v>
      </c>
      <c r="G69" t="s">
        <v>469</v>
      </c>
      <c r="H69" t="s">
        <v>252</v>
      </c>
      <c r="I69" t="s">
        <v>80</v>
      </c>
    </row>
    <row r="70" spans="2:9" x14ac:dyDescent="0.25">
      <c r="B70" t="s">
        <v>333</v>
      </c>
      <c r="C70" t="s">
        <v>79</v>
      </c>
      <c r="G70" t="s">
        <v>469</v>
      </c>
      <c r="H70" t="s">
        <v>253</v>
      </c>
      <c r="I70" t="s">
        <v>81</v>
      </c>
    </row>
    <row r="71" spans="2:9" x14ac:dyDescent="0.25">
      <c r="B71" t="s">
        <v>252</v>
      </c>
      <c r="C71" t="s">
        <v>80</v>
      </c>
      <c r="G71" t="s">
        <v>469</v>
      </c>
      <c r="H71" t="s">
        <v>334</v>
      </c>
      <c r="I71" t="s">
        <v>82</v>
      </c>
    </row>
    <row r="72" spans="2:9" x14ac:dyDescent="0.25">
      <c r="B72" t="s">
        <v>253</v>
      </c>
      <c r="C72" t="s">
        <v>81</v>
      </c>
      <c r="G72" t="s">
        <v>469</v>
      </c>
      <c r="H72" t="s">
        <v>335</v>
      </c>
      <c r="I72" t="s">
        <v>83</v>
      </c>
    </row>
    <row r="73" spans="2:9" x14ac:dyDescent="0.25">
      <c r="B73" t="s">
        <v>334</v>
      </c>
      <c r="C73" t="s">
        <v>82</v>
      </c>
      <c r="G73" t="s">
        <v>469</v>
      </c>
      <c r="H73" t="s">
        <v>336</v>
      </c>
      <c r="I73" t="s">
        <v>84</v>
      </c>
    </row>
    <row r="74" spans="2:9" x14ac:dyDescent="0.25">
      <c r="B74" t="s">
        <v>335</v>
      </c>
      <c r="C74" t="s">
        <v>83</v>
      </c>
      <c r="G74" t="s">
        <v>469</v>
      </c>
      <c r="H74" t="s">
        <v>337</v>
      </c>
      <c r="I74" t="s">
        <v>85</v>
      </c>
    </row>
    <row r="75" spans="2:9" x14ac:dyDescent="0.25">
      <c r="B75" t="s">
        <v>336</v>
      </c>
      <c r="C75" t="s">
        <v>84</v>
      </c>
      <c r="G75" t="s">
        <v>469</v>
      </c>
      <c r="H75" t="s">
        <v>254</v>
      </c>
      <c r="I75" t="s">
        <v>86</v>
      </c>
    </row>
    <row r="76" spans="2:9" x14ac:dyDescent="0.25">
      <c r="B76" t="s">
        <v>337</v>
      </c>
      <c r="C76" t="s">
        <v>85</v>
      </c>
      <c r="G76" t="s">
        <v>469</v>
      </c>
      <c r="H76" t="s">
        <v>338</v>
      </c>
      <c r="I76" t="s">
        <v>87</v>
      </c>
    </row>
    <row r="77" spans="2:9" x14ac:dyDescent="0.25">
      <c r="B77" t="s">
        <v>254</v>
      </c>
      <c r="C77" t="s">
        <v>86</v>
      </c>
      <c r="G77" t="s">
        <v>469</v>
      </c>
      <c r="H77" t="s">
        <v>255</v>
      </c>
      <c r="I77" t="s">
        <v>88</v>
      </c>
    </row>
    <row r="78" spans="2:9" x14ac:dyDescent="0.25">
      <c r="B78" t="s">
        <v>338</v>
      </c>
      <c r="C78" t="s">
        <v>87</v>
      </c>
      <c r="G78" t="s">
        <v>469</v>
      </c>
      <c r="H78" t="s">
        <v>339</v>
      </c>
      <c r="I78" t="s">
        <v>89</v>
      </c>
    </row>
    <row r="79" spans="2:9" x14ac:dyDescent="0.25">
      <c r="B79" t="s">
        <v>255</v>
      </c>
      <c r="C79" t="s">
        <v>88</v>
      </c>
      <c r="G79" t="s">
        <v>469</v>
      </c>
      <c r="H79" t="s">
        <v>256</v>
      </c>
      <c r="I79" t="s">
        <v>90</v>
      </c>
    </row>
    <row r="80" spans="2:9" x14ac:dyDescent="0.25">
      <c r="B80" t="s">
        <v>339</v>
      </c>
      <c r="C80" t="s">
        <v>89</v>
      </c>
      <c r="G80" t="s">
        <v>469</v>
      </c>
      <c r="H80" t="s">
        <v>257</v>
      </c>
      <c r="I80" t="s">
        <v>91</v>
      </c>
    </row>
    <row r="81" spans="2:9" x14ac:dyDescent="0.25">
      <c r="B81" t="s">
        <v>256</v>
      </c>
      <c r="C81" t="s">
        <v>90</v>
      </c>
      <c r="G81" t="s">
        <v>469</v>
      </c>
      <c r="H81" t="s">
        <v>340</v>
      </c>
      <c r="I81" t="s">
        <v>92</v>
      </c>
    </row>
    <row r="82" spans="2:9" x14ac:dyDescent="0.25">
      <c r="B82" t="s">
        <v>257</v>
      </c>
      <c r="C82" t="s">
        <v>91</v>
      </c>
      <c r="G82" t="s">
        <v>469</v>
      </c>
      <c r="H82" t="s">
        <v>341</v>
      </c>
      <c r="I82" t="s">
        <v>93</v>
      </c>
    </row>
    <row r="83" spans="2:9" x14ac:dyDescent="0.25">
      <c r="B83" t="s">
        <v>340</v>
      </c>
      <c r="C83" t="s">
        <v>92</v>
      </c>
      <c r="G83" t="s">
        <v>469</v>
      </c>
      <c r="H83" t="s">
        <v>342</v>
      </c>
      <c r="I83" t="s">
        <v>94</v>
      </c>
    </row>
    <row r="84" spans="2:9" x14ac:dyDescent="0.25">
      <c r="B84" t="s">
        <v>341</v>
      </c>
      <c r="C84" t="s">
        <v>93</v>
      </c>
      <c r="G84" t="s">
        <v>469</v>
      </c>
      <c r="H84" t="s">
        <v>258</v>
      </c>
      <c r="I84" t="s">
        <v>95</v>
      </c>
    </row>
    <row r="85" spans="2:9" x14ac:dyDescent="0.25">
      <c r="B85" t="s">
        <v>342</v>
      </c>
      <c r="C85" t="s">
        <v>94</v>
      </c>
      <c r="G85" t="s">
        <v>469</v>
      </c>
      <c r="H85" t="s">
        <v>259</v>
      </c>
      <c r="I85" t="s">
        <v>96</v>
      </c>
    </row>
    <row r="86" spans="2:9" x14ac:dyDescent="0.25">
      <c r="B86" t="s">
        <v>258</v>
      </c>
      <c r="C86" t="s">
        <v>95</v>
      </c>
      <c r="G86" t="s">
        <v>469</v>
      </c>
      <c r="H86" t="s">
        <v>260</v>
      </c>
      <c r="I86" t="s">
        <v>97</v>
      </c>
    </row>
    <row r="87" spans="2:9" x14ac:dyDescent="0.25">
      <c r="B87" t="s">
        <v>259</v>
      </c>
      <c r="C87" t="s">
        <v>96</v>
      </c>
      <c r="G87" t="s">
        <v>469</v>
      </c>
      <c r="H87" t="s">
        <v>261</v>
      </c>
      <c r="I87" t="s">
        <v>98</v>
      </c>
    </row>
    <row r="88" spans="2:9" x14ac:dyDescent="0.25">
      <c r="B88" t="s">
        <v>260</v>
      </c>
      <c r="C88" t="s">
        <v>97</v>
      </c>
      <c r="G88" t="s">
        <v>469</v>
      </c>
      <c r="H88" t="s">
        <v>262</v>
      </c>
      <c r="I88" t="s">
        <v>99</v>
      </c>
    </row>
    <row r="89" spans="2:9" x14ac:dyDescent="0.25">
      <c r="B89" t="s">
        <v>261</v>
      </c>
      <c r="C89" t="s">
        <v>98</v>
      </c>
      <c r="G89" t="s">
        <v>469</v>
      </c>
      <c r="H89" t="s">
        <v>343</v>
      </c>
      <c r="I89" t="s">
        <v>100</v>
      </c>
    </row>
    <row r="90" spans="2:9" x14ac:dyDescent="0.25">
      <c r="B90" t="s">
        <v>262</v>
      </c>
      <c r="C90" t="s">
        <v>99</v>
      </c>
      <c r="G90" t="s">
        <v>469</v>
      </c>
      <c r="H90" t="s">
        <v>344</v>
      </c>
      <c r="I90" t="s">
        <v>101</v>
      </c>
    </row>
    <row r="91" spans="2:9" x14ac:dyDescent="0.25">
      <c r="B91" t="s">
        <v>343</v>
      </c>
      <c r="C91" t="s">
        <v>100</v>
      </c>
      <c r="G91" t="s">
        <v>469</v>
      </c>
      <c r="H91" t="s">
        <v>345</v>
      </c>
      <c r="I91" t="s">
        <v>102</v>
      </c>
    </row>
    <row r="92" spans="2:9" x14ac:dyDescent="0.25">
      <c r="B92" t="s">
        <v>344</v>
      </c>
      <c r="C92" t="s">
        <v>101</v>
      </c>
      <c r="G92" t="s">
        <v>469</v>
      </c>
      <c r="H92" t="s">
        <v>263</v>
      </c>
      <c r="I92" t="s">
        <v>103</v>
      </c>
    </row>
    <row r="93" spans="2:9" x14ac:dyDescent="0.25">
      <c r="B93" t="s">
        <v>345</v>
      </c>
      <c r="C93" t="s">
        <v>102</v>
      </c>
      <c r="G93" t="s">
        <v>469</v>
      </c>
      <c r="H93" t="s">
        <v>264</v>
      </c>
      <c r="I93" t="s">
        <v>105</v>
      </c>
    </row>
    <row r="94" spans="2:9" x14ac:dyDescent="0.25">
      <c r="B94" t="s">
        <v>263</v>
      </c>
      <c r="C94" t="s">
        <v>103</v>
      </c>
      <c r="G94" t="s">
        <v>469</v>
      </c>
      <c r="H94" t="s">
        <v>347</v>
      </c>
      <c r="I94" t="s">
        <v>106</v>
      </c>
    </row>
    <row r="95" spans="2:9" x14ac:dyDescent="0.25">
      <c r="B95" t="s">
        <v>346</v>
      </c>
      <c r="C95" t="s">
        <v>104</v>
      </c>
      <c r="G95" t="s">
        <v>469</v>
      </c>
      <c r="H95" t="s">
        <v>265</v>
      </c>
      <c r="I95" t="s">
        <v>107</v>
      </c>
    </row>
    <row r="96" spans="2:9" x14ac:dyDescent="0.25">
      <c r="B96" t="s">
        <v>264</v>
      </c>
      <c r="C96" t="s">
        <v>105</v>
      </c>
      <c r="G96" t="s">
        <v>469</v>
      </c>
      <c r="H96" t="s">
        <v>348</v>
      </c>
      <c r="I96" t="s">
        <v>108</v>
      </c>
    </row>
    <row r="97" spans="2:9" x14ac:dyDescent="0.25">
      <c r="B97" t="s">
        <v>347</v>
      </c>
      <c r="C97" t="s">
        <v>106</v>
      </c>
      <c r="G97" t="s">
        <v>469</v>
      </c>
      <c r="H97" t="s">
        <v>266</v>
      </c>
      <c r="I97" t="s">
        <v>109</v>
      </c>
    </row>
    <row r="98" spans="2:9" x14ac:dyDescent="0.25">
      <c r="B98" t="s">
        <v>265</v>
      </c>
      <c r="C98" t="s">
        <v>107</v>
      </c>
      <c r="G98" t="s">
        <v>469</v>
      </c>
      <c r="H98" t="s">
        <v>349</v>
      </c>
      <c r="I98" t="s">
        <v>110</v>
      </c>
    </row>
    <row r="99" spans="2:9" x14ac:dyDescent="0.25">
      <c r="B99" t="s">
        <v>348</v>
      </c>
      <c r="C99" t="s">
        <v>108</v>
      </c>
      <c r="G99" t="s">
        <v>469</v>
      </c>
      <c r="H99" t="s">
        <v>350</v>
      </c>
      <c r="I99" t="s">
        <v>111</v>
      </c>
    </row>
    <row r="100" spans="2:9" x14ac:dyDescent="0.25">
      <c r="B100" t="s">
        <v>266</v>
      </c>
      <c r="C100" t="s">
        <v>109</v>
      </c>
      <c r="G100" t="s">
        <v>469</v>
      </c>
      <c r="H100" t="s">
        <v>267</v>
      </c>
      <c r="I100" t="s">
        <v>112</v>
      </c>
    </row>
    <row r="101" spans="2:9" x14ac:dyDescent="0.25">
      <c r="B101" t="s">
        <v>349</v>
      </c>
      <c r="C101" t="s">
        <v>110</v>
      </c>
      <c r="G101" t="s">
        <v>469</v>
      </c>
      <c r="H101" t="s">
        <v>268</v>
      </c>
      <c r="I101" t="s">
        <v>113</v>
      </c>
    </row>
    <row r="102" spans="2:9" x14ac:dyDescent="0.25">
      <c r="B102" t="s">
        <v>350</v>
      </c>
      <c r="C102" t="s">
        <v>111</v>
      </c>
      <c r="G102" t="s">
        <v>469</v>
      </c>
      <c r="H102" t="s">
        <v>269</v>
      </c>
      <c r="I102" t="s">
        <v>114</v>
      </c>
    </row>
    <row r="103" spans="2:9" x14ac:dyDescent="0.25">
      <c r="B103" t="s">
        <v>267</v>
      </c>
      <c r="C103" t="s">
        <v>112</v>
      </c>
      <c r="G103" t="s">
        <v>469</v>
      </c>
      <c r="H103" t="s">
        <v>270</v>
      </c>
      <c r="I103" t="s">
        <v>115</v>
      </c>
    </row>
    <row r="104" spans="2:9" x14ac:dyDescent="0.25">
      <c r="B104" t="s">
        <v>268</v>
      </c>
      <c r="C104" t="s">
        <v>113</v>
      </c>
      <c r="G104" t="s">
        <v>469</v>
      </c>
      <c r="H104" t="s">
        <v>351</v>
      </c>
      <c r="I104" t="s">
        <v>116</v>
      </c>
    </row>
    <row r="105" spans="2:9" x14ac:dyDescent="0.25">
      <c r="B105" t="s">
        <v>269</v>
      </c>
      <c r="C105" t="s">
        <v>114</v>
      </c>
      <c r="G105" t="s">
        <v>469</v>
      </c>
      <c r="H105" t="s">
        <v>352</v>
      </c>
      <c r="I105" t="s">
        <v>117</v>
      </c>
    </row>
    <row r="106" spans="2:9" x14ac:dyDescent="0.25">
      <c r="B106" t="s">
        <v>270</v>
      </c>
      <c r="C106" t="s">
        <v>115</v>
      </c>
      <c r="G106" t="s">
        <v>469</v>
      </c>
      <c r="H106" t="s">
        <v>353</v>
      </c>
      <c r="I106" t="s">
        <v>118</v>
      </c>
    </row>
    <row r="107" spans="2:9" x14ac:dyDescent="0.25">
      <c r="B107" t="s">
        <v>351</v>
      </c>
      <c r="C107" t="s">
        <v>116</v>
      </c>
      <c r="G107" t="s">
        <v>469</v>
      </c>
      <c r="H107" t="s">
        <v>354</v>
      </c>
      <c r="I107" t="s">
        <v>119</v>
      </c>
    </row>
    <row r="108" spans="2:9" x14ac:dyDescent="0.25">
      <c r="B108" t="s">
        <v>352</v>
      </c>
      <c r="C108" t="s">
        <v>117</v>
      </c>
      <c r="G108" t="s">
        <v>469</v>
      </c>
      <c r="H108" t="s">
        <v>271</v>
      </c>
      <c r="I108" t="s">
        <v>120</v>
      </c>
    </row>
    <row r="109" spans="2:9" x14ac:dyDescent="0.25">
      <c r="B109" t="s">
        <v>353</v>
      </c>
      <c r="C109" t="s">
        <v>118</v>
      </c>
      <c r="G109" t="s">
        <v>469</v>
      </c>
      <c r="H109" t="s">
        <v>355</v>
      </c>
      <c r="I109" t="s">
        <v>121</v>
      </c>
    </row>
    <row r="110" spans="2:9" x14ac:dyDescent="0.25">
      <c r="B110" t="s">
        <v>354</v>
      </c>
      <c r="C110" t="s">
        <v>119</v>
      </c>
      <c r="G110" t="s">
        <v>469</v>
      </c>
      <c r="H110" t="s">
        <v>272</v>
      </c>
      <c r="I110" t="s">
        <v>122</v>
      </c>
    </row>
    <row r="111" spans="2:9" x14ac:dyDescent="0.25">
      <c r="B111" t="s">
        <v>271</v>
      </c>
      <c r="C111" t="s">
        <v>120</v>
      </c>
      <c r="G111" t="s">
        <v>469</v>
      </c>
      <c r="H111" t="s">
        <v>273</v>
      </c>
      <c r="I111" t="s">
        <v>123</v>
      </c>
    </row>
    <row r="112" spans="2:9" x14ac:dyDescent="0.25">
      <c r="B112" t="s">
        <v>355</v>
      </c>
      <c r="C112" t="s">
        <v>121</v>
      </c>
      <c r="G112" t="s">
        <v>469</v>
      </c>
      <c r="H112" t="s">
        <v>356</v>
      </c>
      <c r="I112" t="s">
        <v>124</v>
      </c>
    </row>
    <row r="113" spans="2:9" x14ac:dyDescent="0.25">
      <c r="B113" t="s">
        <v>272</v>
      </c>
      <c r="C113" t="s">
        <v>122</v>
      </c>
      <c r="G113" t="s">
        <v>469</v>
      </c>
      <c r="H113" t="s">
        <v>357</v>
      </c>
      <c r="I113" t="s">
        <v>125</v>
      </c>
    </row>
    <row r="114" spans="2:9" x14ac:dyDescent="0.25">
      <c r="B114" t="s">
        <v>273</v>
      </c>
      <c r="C114" t="s">
        <v>123</v>
      </c>
      <c r="G114" t="s">
        <v>469</v>
      </c>
      <c r="H114" t="s">
        <v>358</v>
      </c>
      <c r="I114" t="s">
        <v>126</v>
      </c>
    </row>
    <row r="115" spans="2:9" x14ac:dyDescent="0.25">
      <c r="B115" t="s">
        <v>356</v>
      </c>
      <c r="C115" t="s">
        <v>124</v>
      </c>
      <c r="G115" t="s">
        <v>469</v>
      </c>
      <c r="H115" t="s">
        <v>359</v>
      </c>
      <c r="I115" t="s">
        <v>127</v>
      </c>
    </row>
    <row r="116" spans="2:9" x14ac:dyDescent="0.25">
      <c r="B116" t="s">
        <v>357</v>
      </c>
      <c r="C116" t="s">
        <v>125</v>
      </c>
      <c r="G116" t="s">
        <v>469</v>
      </c>
      <c r="H116" t="s">
        <v>274</v>
      </c>
      <c r="I116" t="s">
        <v>128</v>
      </c>
    </row>
    <row r="117" spans="2:9" x14ac:dyDescent="0.25">
      <c r="B117" t="s">
        <v>358</v>
      </c>
      <c r="C117" t="s">
        <v>126</v>
      </c>
      <c r="G117" t="s">
        <v>469</v>
      </c>
      <c r="H117" t="s">
        <v>275</v>
      </c>
      <c r="I117" t="s">
        <v>129</v>
      </c>
    </row>
    <row r="118" spans="2:9" x14ac:dyDescent="0.25">
      <c r="B118" t="s">
        <v>359</v>
      </c>
      <c r="C118" t="s">
        <v>127</v>
      </c>
      <c r="G118" t="s">
        <v>469</v>
      </c>
      <c r="H118" t="s">
        <v>276</v>
      </c>
      <c r="I118" t="s">
        <v>130</v>
      </c>
    </row>
    <row r="119" spans="2:9" x14ac:dyDescent="0.25">
      <c r="B119" t="s">
        <v>274</v>
      </c>
      <c r="C119" t="s">
        <v>128</v>
      </c>
      <c r="G119" t="s">
        <v>469</v>
      </c>
      <c r="H119" t="s">
        <v>277</v>
      </c>
      <c r="I119" t="s">
        <v>131</v>
      </c>
    </row>
    <row r="120" spans="2:9" x14ac:dyDescent="0.25">
      <c r="B120" t="s">
        <v>275</v>
      </c>
      <c r="C120" t="s">
        <v>129</v>
      </c>
      <c r="G120" t="s">
        <v>469</v>
      </c>
      <c r="H120" t="s">
        <v>360</v>
      </c>
      <c r="I120" t="s">
        <v>132</v>
      </c>
    </row>
    <row r="121" spans="2:9" x14ac:dyDescent="0.25">
      <c r="B121" t="s">
        <v>276</v>
      </c>
      <c r="C121" t="s">
        <v>130</v>
      </c>
      <c r="G121" t="s">
        <v>469</v>
      </c>
      <c r="H121" t="s">
        <v>361</v>
      </c>
      <c r="I121" t="s">
        <v>133</v>
      </c>
    </row>
    <row r="122" spans="2:9" x14ac:dyDescent="0.25">
      <c r="B122" t="s">
        <v>277</v>
      </c>
      <c r="C122" t="s">
        <v>131</v>
      </c>
      <c r="G122" t="s">
        <v>469</v>
      </c>
      <c r="H122" t="s">
        <v>362</v>
      </c>
      <c r="I122" t="s">
        <v>134</v>
      </c>
    </row>
    <row r="123" spans="2:9" x14ac:dyDescent="0.25">
      <c r="B123" t="s">
        <v>360</v>
      </c>
      <c r="C123" t="s">
        <v>132</v>
      </c>
      <c r="G123" t="s">
        <v>469</v>
      </c>
      <c r="H123" t="s">
        <v>363</v>
      </c>
      <c r="I123" t="s">
        <v>135</v>
      </c>
    </row>
    <row r="124" spans="2:9" x14ac:dyDescent="0.25">
      <c r="B124" t="s">
        <v>361</v>
      </c>
      <c r="C124" t="s">
        <v>133</v>
      </c>
      <c r="G124" t="s">
        <v>469</v>
      </c>
      <c r="H124" t="s">
        <v>363</v>
      </c>
      <c r="I124" t="s">
        <v>136</v>
      </c>
    </row>
    <row r="125" spans="2:9" x14ac:dyDescent="0.25">
      <c r="B125" t="s">
        <v>362</v>
      </c>
      <c r="C125" t="s">
        <v>134</v>
      </c>
      <c r="G125" t="s">
        <v>469</v>
      </c>
      <c r="H125" t="s">
        <v>364</v>
      </c>
      <c r="I125" t="s">
        <v>137</v>
      </c>
    </row>
    <row r="126" spans="2:9" x14ac:dyDescent="0.25">
      <c r="B126" t="s">
        <v>363</v>
      </c>
      <c r="C126" t="s">
        <v>135</v>
      </c>
      <c r="G126" t="s">
        <v>469</v>
      </c>
      <c r="H126" t="s">
        <v>278</v>
      </c>
      <c r="I126" t="s">
        <v>138</v>
      </c>
    </row>
    <row r="127" spans="2:9" x14ac:dyDescent="0.25">
      <c r="B127" t="s">
        <v>363</v>
      </c>
      <c r="C127" t="s">
        <v>136</v>
      </c>
      <c r="G127" t="s">
        <v>469</v>
      </c>
      <c r="H127" t="s">
        <v>365</v>
      </c>
      <c r="I127" t="s">
        <v>139</v>
      </c>
    </row>
    <row r="128" spans="2:9" x14ac:dyDescent="0.25">
      <c r="B128" t="s">
        <v>364</v>
      </c>
      <c r="C128" t="s">
        <v>137</v>
      </c>
      <c r="G128" t="s">
        <v>469</v>
      </c>
      <c r="H128" t="s">
        <v>366</v>
      </c>
      <c r="I128" t="s">
        <v>140</v>
      </c>
    </row>
    <row r="129" spans="2:9" x14ac:dyDescent="0.25">
      <c r="B129" t="s">
        <v>278</v>
      </c>
      <c r="C129" t="s">
        <v>138</v>
      </c>
      <c r="G129" t="s">
        <v>469</v>
      </c>
      <c r="H129" t="s">
        <v>279</v>
      </c>
      <c r="I129" t="s">
        <v>141</v>
      </c>
    </row>
    <row r="130" spans="2:9" x14ac:dyDescent="0.25">
      <c r="B130" t="s">
        <v>365</v>
      </c>
      <c r="C130" t="s">
        <v>139</v>
      </c>
      <c r="G130" t="s">
        <v>469</v>
      </c>
      <c r="H130" t="s">
        <v>367</v>
      </c>
      <c r="I130" t="s">
        <v>142</v>
      </c>
    </row>
    <row r="131" spans="2:9" x14ac:dyDescent="0.25">
      <c r="B131" t="s">
        <v>366</v>
      </c>
      <c r="C131" t="s">
        <v>140</v>
      </c>
      <c r="G131" t="s">
        <v>469</v>
      </c>
      <c r="H131" t="s">
        <v>280</v>
      </c>
      <c r="I131" t="s">
        <v>143</v>
      </c>
    </row>
    <row r="132" spans="2:9" x14ac:dyDescent="0.25">
      <c r="B132" t="s">
        <v>279</v>
      </c>
      <c r="C132" t="s">
        <v>141</v>
      </c>
      <c r="G132" t="s">
        <v>469</v>
      </c>
      <c r="H132" t="s">
        <v>281</v>
      </c>
      <c r="I132" t="s">
        <v>144</v>
      </c>
    </row>
    <row r="133" spans="2:9" x14ac:dyDescent="0.25">
      <c r="B133" t="s">
        <v>514</v>
      </c>
      <c r="C133" t="s">
        <v>515</v>
      </c>
      <c r="G133" t="s">
        <v>469</v>
      </c>
      <c r="H133" t="s">
        <v>368</v>
      </c>
      <c r="I133" t="s">
        <v>145</v>
      </c>
    </row>
    <row r="134" spans="2:9" x14ac:dyDescent="0.25">
      <c r="B134" t="s">
        <v>367</v>
      </c>
      <c r="C134" t="s">
        <v>142</v>
      </c>
      <c r="G134" t="s">
        <v>469</v>
      </c>
      <c r="H134" t="s">
        <v>369</v>
      </c>
      <c r="I134" t="s">
        <v>146</v>
      </c>
    </row>
    <row r="135" spans="2:9" x14ac:dyDescent="0.25">
      <c r="B135" t="s">
        <v>280</v>
      </c>
      <c r="C135" t="s">
        <v>143</v>
      </c>
      <c r="G135" t="s">
        <v>469</v>
      </c>
      <c r="H135" t="s">
        <v>370</v>
      </c>
      <c r="I135" t="s">
        <v>147</v>
      </c>
    </row>
    <row r="136" spans="2:9" x14ac:dyDescent="0.25">
      <c r="B136" t="s">
        <v>281</v>
      </c>
      <c r="C136" t="s">
        <v>144</v>
      </c>
      <c r="G136" t="s">
        <v>469</v>
      </c>
      <c r="H136" t="s">
        <v>282</v>
      </c>
      <c r="I136" t="s">
        <v>148</v>
      </c>
    </row>
    <row r="137" spans="2:9" x14ac:dyDescent="0.25">
      <c r="B137" t="s">
        <v>368</v>
      </c>
      <c r="C137" t="s">
        <v>145</v>
      </c>
      <c r="G137" t="s">
        <v>469</v>
      </c>
      <c r="H137" t="s">
        <v>371</v>
      </c>
      <c r="I137" t="s">
        <v>149</v>
      </c>
    </row>
    <row r="138" spans="2:9" x14ac:dyDescent="0.25">
      <c r="B138" t="s">
        <v>369</v>
      </c>
      <c r="C138" t="s">
        <v>146</v>
      </c>
      <c r="G138" t="s">
        <v>469</v>
      </c>
      <c r="H138" t="s">
        <v>372</v>
      </c>
      <c r="I138" t="s">
        <v>150</v>
      </c>
    </row>
    <row r="139" spans="2:9" x14ac:dyDescent="0.25">
      <c r="B139" t="s">
        <v>370</v>
      </c>
      <c r="C139" t="s">
        <v>147</v>
      </c>
      <c r="G139" t="s">
        <v>469</v>
      </c>
      <c r="H139" t="s">
        <v>373</v>
      </c>
      <c r="I139" t="s">
        <v>151</v>
      </c>
    </row>
    <row r="140" spans="2:9" x14ac:dyDescent="0.25">
      <c r="B140" t="s">
        <v>282</v>
      </c>
      <c r="C140" t="s">
        <v>148</v>
      </c>
      <c r="G140" t="s">
        <v>469</v>
      </c>
      <c r="H140" t="s">
        <v>283</v>
      </c>
      <c r="I140" t="s">
        <v>152</v>
      </c>
    </row>
    <row r="141" spans="2:9" x14ac:dyDescent="0.25">
      <c r="B141" t="s">
        <v>371</v>
      </c>
      <c r="C141" t="s">
        <v>149</v>
      </c>
      <c r="G141" t="s">
        <v>469</v>
      </c>
      <c r="H141" t="s">
        <v>374</v>
      </c>
      <c r="I141" t="s">
        <v>153</v>
      </c>
    </row>
    <row r="142" spans="2:9" x14ac:dyDescent="0.25">
      <c r="B142" t="s">
        <v>372</v>
      </c>
      <c r="C142" t="s">
        <v>150</v>
      </c>
      <c r="G142" t="s">
        <v>469</v>
      </c>
      <c r="H142" t="s">
        <v>375</v>
      </c>
      <c r="I142" t="s">
        <v>154</v>
      </c>
    </row>
    <row r="143" spans="2:9" x14ac:dyDescent="0.25">
      <c r="B143" t="s">
        <v>373</v>
      </c>
      <c r="C143" t="s">
        <v>151</v>
      </c>
      <c r="G143" t="s">
        <v>469</v>
      </c>
      <c r="H143" t="s">
        <v>376</v>
      </c>
      <c r="I143" t="s">
        <v>155</v>
      </c>
    </row>
    <row r="144" spans="2:9" x14ac:dyDescent="0.25">
      <c r="B144" t="s">
        <v>283</v>
      </c>
      <c r="C144" t="s">
        <v>152</v>
      </c>
      <c r="G144" t="s">
        <v>469</v>
      </c>
      <c r="H144" t="s">
        <v>284</v>
      </c>
      <c r="I144" t="s">
        <v>156</v>
      </c>
    </row>
    <row r="145" spans="2:9" x14ac:dyDescent="0.25">
      <c r="B145" t="s">
        <v>374</v>
      </c>
      <c r="C145" t="s">
        <v>153</v>
      </c>
      <c r="G145" t="s">
        <v>469</v>
      </c>
      <c r="H145" t="s">
        <v>285</v>
      </c>
      <c r="I145" t="s">
        <v>157</v>
      </c>
    </row>
    <row r="146" spans="2:9" x14ac:dyDescent="0.25">
      <c r="B146" t="s">
        <v>375</v>
      </c>
      <c r="C146" t="s">
        <v>154</v>
      </c>
      <c r="G146" t="s">
        <v>469</v>
      </c>
      <c r="H146" t="s">
        <v>377</v>
      </c>
      <c r="I146" t="s">
        <v>158</v>
      </c>
    </row>
    <row r="147" spans="2:9" x14ac:dyDescent="0.25">
      <c r="B147" t="s">
        <v>376</v>
      </c>
      <c r="C147" t="s">
        <v>155</v>
      </c>
      <c r="G147" t="s">
        <v>469</v>
      </c>
      <c r="H147" t="s">
        <v>286</v>
      </c>
      <c r="I147" t="s">
        <v>159</v>
      </c>
    </row>
    <row r="148" spans="2:9" x14ac:dyDescent="0.25">
      <c r="B148" t="s">
        <v>284</v>
      </c>
      <c r="C148" t="s">
        <v>156</v>
      </c>
      <c r="G148" t="s">
        <v>469</v>
      </c>
      <c r="H148" t="s">
        <v>378</v>
      </c>
      <c r="I148" t="s">
        <v>160</v>
      </c>
    </row>
    <row r="149" spans="2:9" x14ac:dyDescent="0.25">
      <c r="B149" t="s">
        <v>285</v>
      </c>
      <c r="C149" t="s">
        <v>157</v>
      </c>
      <c r="G149" t="s">
        <v>469</v>
      </c>
      <c r="H149" t="s">
        <v>379</v>
      </c>
      <c r="I149" t="s">
        <v>161</v>
      </c>
    </row>
    <row r="150" spans="2:9" x14ac:dyDescent="0.25">
      <c r="B150" t="s">
        <v>377</v>
      </c>
      <c r="C150" t="s">
        <v>158</v>
      </c>
      <c r="G150" t="s">
        <v>469</v>
      </c>
      <c r="H150" t="s">
        <v>287</v>
      </c>
      <c r="I150" t="s">
        <v>162</v>
      </c>
    </row>
    <row r="151" spans="2:9" x14ac:dyDescent="0.25">
      <c r="B151" t="s">
        <v>286</v>
      </c>
      <c r="C151" t="s">
        <v>159</v>
      </c>
      <c r="G151" t="s">
        <v>469</v>
      </c>
      <c r="H151" t="s">
        <v>380</v>
      </c>
      <c r="I151" t="s">
        <v>163</v>
      </c>
    </row>
    <row r="152" spans="2:9" x14ac:dyDescent="0.25">
      <c r="B152" t="s">
        <v>378</v>
      </c>
      <c r="C152" t="s">
        <v>160</v>
      </c>
      <c r="G152" t="s">
        <v>469</v>
      </c>
      <c r="H152" t="s">
        <v>381</v>
      </c>
      <c r="I152" t="s">
        <v>164</v>
      </c>
    </row>
    <row r="153" spans="2:9" x14ac:dyDescent="0.25">
      <c r="B153" t="s">
        <v>379</v>
      </c>
      <c r="C153" t="s">
        <v>161</v>
      </c>
      <c r="G153" t="s">
        <v>469</v>
      </c>
      <c r="H153" t="s">
        <v>382</v>
      </c>
      <c r="I153" t="s">
        <v>165</v>
      </c>
    </row>
    <row r="154" spans="2:9" x14ac:dyDescent="0.25">
      <c r="B154" t="s">
        <v>287</v>
      </c>
      <c r="C154" t="s">
        <v>162</v>
      </c>
      <c r="G154" t="s">
        <v>469</v>
      </c>
      <c r="H154" t="s">
        <v>383</v>
      </c>
      <c r="I154" t="s">
        <v>166</v>
      </c>
    </row>
    <row r="155" spans="2:9" x14ac:dyDescent="0.25">
      <c r="B155" t="s">
        <v>380</v>
      </c>
      <c r="C155" t="s">
        <v>163</v>
      </c>
      <c r="G155" t="s">
        <v>469</v>
      </c>
      <c r="H155" t="s">
        <v>384</v>
      </c>
      <c r="I155" t="s">
        <v>167</v>
      </c>
    </row>
    <row r="156" spans="2:9" x14ac:dyDescent="0.25">
      <c r="B156" t="s">
        <v>381</v>
      </c>
      <c r="C156" t="s">
        <v>164</v>
      </c>
      <c r="G156" t="s">
        <v>469</v>
      </c>
      <c r="H156" t="s">
        <v>288</v>
      </c>
      <c r="I156" t="s">
        <v>168</v>
      </c>
    </row>
    <row r="157" spans="2:9" x14ac:dyDescent="0.25">
      <c r="B157" t="s">
        <v>382</v>
      </c>
      <c r="C157" t="s">
        <v>165</v>
      </c>
      <c r="G157" t="s">
        <v>469</v>
      </c>
      <c r="H157" t="s">
        <v>385</v>
      </c>
      <c r="I157" t="s">
        <v>169</v>
      </c>
    </row>
    <row r="158" spans="2:9" x14ac:dyDescent="0.25">
      <c r="B158" t="s">
        <v>383</v>
      </c>
      <c r="C158" t="s">
        <v>166</v>
      </c>
      <c r="G158" t="s">
        <v>469</v>
      </c>
      <c r="H158" t="s">
        <v>386</v>
      </c>
      <c r="I158" t="s">
        <v>170</v>
      </c>
    </row>
    <row r="159" spans="2:9" x14ac:dyDescent="0.25">
      <c r="B159" t="s">
        <v>384</v>
      </c>
      <c r="C159" t="s">
        <v>167</v>
      </c>
      <c r="G159" t="s">
        <v>469</v>
      </c>
      <c r="H159" t="s">
        <v>289</v>
      </c>
      <c r="I159" t="s">
        <v>171</v>
      </c>
    </row>
    <row r="160" spans="2:9" x14ac:dyDescent="0.25">
      <c r="B160" t="s">
        <v>288</v>
      </c>
      <c r="C160" t="s">
        <v>168</v>
      </c>
      <c r="G160" t="s">
        <v>469</v>
      </c>
      <c r="H160" t="s">
        <v>387</v>
      </c>
      <c r="I160" t="s">
        <v>172</v>
      </c>
    </row>
    <row r="161" spans="2:9" x14ac:dyDescent="0.25">
      <c r="B161" t="s">
        <v>385</v>
      </c>
      <c r="C161" t="s">
        <v>169</v>
      </c>
      <c r="G161" t="s">
        <v>469</v>
      </c>
      <c r="H161" t="s">
        <v>388</v>
      </c>
      <c r="I161" t="s">
        <v>173</v>
      </c>
    </row>
    <row r="162" spans="2:9" x14ac:dyDescent="0.25">
      <c r="B162" t="s">
        <v>386</v>
      </c>
      <c r="C162" t="s">
        <v>170</v>
      </c>
      <c r="G162" t="s">
        <v>469</v>
      </c>
      <c r="H162" t="s">
        <v>389</v>
      </c>
      <c r="I162" t="s">
        <v>174</v>
      </c>
    </row>
    <row r="163" spans="2:9" x14ac:dyDescent="0.25">
      <c r="B163" t="s">
        <v>289</v>
      </c>
      <c r="C163" t="s">
        <v>171</v>
      </c>
      <c r="G163" t="s">
        <v>469</v>
      </c>
      <c r="H163" t="s">
        <v>390</v>
      </c>
      <c r="I163" t="s">
        <v>175</v>
      </c>
    </row>
    <row r="164" spans="2:9" x14ac:dyDescent="0.25">
      <c r="B164" t="s">
        <v>387</v>
      </c>
      <c r="C164" t="s">
        <v>172</v>
      </c>
      <c r="G164" t="s">
        <v>469</v>
      </c>
      <c r="H164" t="s">
        <v>290</v>
      </c>
      <c r="I164" t="s">
        <v>176</v>
      </c>
    </row>
    <row r="165" spans="2:9" x14ac:dyDescent="0.25">
      <c r="B165" t="s">
        <v>388</v>
      </c>
      <c r="C165" t="s">
        <v>173</v>
      </c>
      <c r="G165" t="s">
        <v>469</v>
      </c>
      <c r="H165" t="s">
        <v>291</v>
      </c>
      <c r="I165" t="s">
        <v>177</v>
      </c>
    </row>
    <row r="166" spans="2:9" x14ac:dyDescent="0.25">
      <c r="B166" t="s">
        <v>389</v>
      </c>
      <c r="C166" t="s">
        <v>174</v>
      </c>
      <c r="G166" t="s">
        <v>469</v>
      </c>
      <c r="H166" t="s">
        <v>391</v>
      </c>
      <c r="I166" t="s">
        <v>178</v>
      </c>
    </row>
    <row r="167" spans="2:9" x14ac:dyDescent="0.25">
      <c r="B167" t="s">
        <v>390</v>
      </c>
      <c r="C167" t="s">
        <v>175</v>
      </c>
      <c r="G167" t="s">
        <v>469</v>
      </c>
      <c r="H167" t="s">
        <v>292</v>
      </c>
      <c r="I167" t="s">
        <v>179</v>
      </c>
    </row>
    <row r="168" spans="2:9" x14ac:dyDescent="0.25">
      <c r="B168" t="s">
        <v>290</v>
      </c>
      <c r="C168" t="s">
        <v>176</v>
      </c>
      <c r="G168" t="s">
        <v>469</v>
      </c>
      <c r="H168" t="s">
        <v>293</v>
      </c>
      <c r="I168" t="s">
        <v>180</v>
      </c>
    </row>
    <row r="169" spans="2:9" x14ac:dyDescent="0.25">
      <c r="B169" t="s">
        <v>291</v>
      </c>
      <c r="C169" t="s">
        <v>177</v>
      </c>
      <c r="G169" t="s">
        <v>469</v>
      </c>
      <c r="H169" t="s">
        <v>393</v>
      </c>
      <c r="I169" t="s">
        <v>182</v>
      </c>
    </row>
    <row r="170" spans="2:9" x14ac:dyDescent="0.25">
      <c r="B170" t="s">
        <v>391</v>
      </c>
      <c r="C170" t="s">
        <v>178</v>
      </c>
      <c r="G170" t="s">
        <v>469</v>
      </c>
      <c r="H170" t="s">
        <v>294</v>
      </c>
      <c r="I170" t="s">
        <v>183</v>
      </c>
    </row>
    <row r="171" spans="2:9" x14ac:dyDescent="0.25">
      <c r="B171" t="s">
        <v>292</v>
      </c>
      <c r="C171" t="s">
        <v>179</v>
      </c>
      <c r="G171" t="s">
        <v>469</v>
      </c>
      <c r="H171" t="s">
        <v>394</v>
      </c>
      <c r="I171" t="s">
        <v>184</v>
      </c>
    </row>
    <row r="172" spans="2:9" x14ac:dyDescent="0.25">
      <c r="B172" t="s">
        <v>293</v>
      </c>
      <c r="C172" t="s">
        <v>180</v>
      </c>
      <c r="G172" t="s">
        <v>469</v>
      </c>
      <c r="H172" t="s">
        <v>396</v>
      </c>
      <c r="I172" t="s">
        <v>186</v>
      </c>
    </row>
    <row r="173" spans="2:9" x14ac:dyDescent="0.25">
      <c r="B173" t="s">
        <v>392</v>
      </c>
      <c r="C173" t="s">
        <v>181</v>
      </c>
      <c r="G173" t="s">
        <v>469</v>
      </c>
      <c r="H173" t="s">
        <v>397</v>
      </c>
      <c r="I173" t="s">
        <v>187</v>
      </c>
    </row>
    <row r="174" spans="2:9" x14ac:dyDescent="0.25">
      <c r="B174" t="s">
        <v>393</v>
      </c>
      <c r="C174" t="s">
        <v>182</v>
      </c>
      <c r="G174" t="s">
        <v>469</v>
      </c>
      <c r="H174" t="s">
        <v>295</v>
      </c>
      <c r="I174" t="s">
        <v>188</v>
      </c>
    </row>
    <row r="175" spans="2:9" x14ac:dyDescent="0.25">
      <c r="B175" t="s">
        <v>294</v>
      </c>
      <c r="C175" t="s">
        <v>183</v>
      </c>
      <c r="G175" t="s">
        <v>469</v>
      </c>
      <c r="H175" t="s">
        <v>398</v>
      </c>
      <c r="I175" t="s">
        <v>189</v>
      </c>
    </row>
    <row r="176" spans="2:9" x14ac:dyDescent="0.25">
      <c r="B176" t="s">
        <v>394</v>
      </c>
      <c r="C176" t="s">
        <v>184</v>
      </c>
      <c r="G176" t="s">
        <v>469</v>
      </c>
      <c r="H176" t="s">
        <v>399</v>
      </c>
      <c r="I176" t="s">
        <v>190</v>
      </c>
    </row>
    <row r="177" spans="2:9" x14ac:dyDescent="0.25">
      <c r="B177" t="s">
        <v>395</v>
      </c>
      <c r="C177" t="s">
        <v>185</v>
      </c>
      <c r="G177" t="s">
        <v>469</v>
      </c>
      <c r="H177" t="s">
        <v>400</v>
      </c>
      <c r="I177" t="s">
        <v>191</v>
      </c>
    </row>
    <row r="178" spans="2:9" x14ac:dyDescent="0.25">
      <c r="B178" t="s">
        <v>396</v>
      </c>
      <c r="C178" t="s">
        <v>186</v>
      </c>
      <c r="G178" t="s">
        <v>469</v>
      </c>
      <c r="H178" t="s">
        <v>401</v>
      </c>
      <c r="I178" t="s">
        <v>192</v>
      </c>
    </row>
    <row r="179" spans="2:9" x14ac:dyDescent="0.25">
      <c r="B179" t="s">
        <v>397</v>
      </c>
      <c r="C179" t="s">
        <v>187</v>
      </c>
      <c r="G179" t="s">
        <v>469</v>
      </c>
      <c r="H179" t="s">
        <v>296</v>
      </c>
      <c r="I179" t="s">
        <v>193</v>
      </c>
    </row>
    <row r="180" spans="2:9" x14ac:dyDescent="0.25">
      <c r="B180" t="s">
        <v>295</v>
      </c>
      <c r="C180" t="s">
        <v>188</v>
      </c>
      <c r="G180" t="s">
        <v>469</v>
      </c>
      <c r="H180" t="s">
        <v>297</v>
      </c>
      <c r="I180" t="s">
        <v>194</v>
      </c>
    </row>
    <row r="181" spans="2:9" x14ac:dyDescent="0.25">
      <c r="B181" t="s">
        <v>398</v>
      </c>
      <c r="C181" t="s">
        <v>189</v>
      </c>
      <c r="G181" t="s">
        <v>469</v>
      </c>
      <c r="H181" t="s">
        <v>298</v>
      </c>
      <c r="I181" t="s">
        <v>195</v>
      </c>
    </row>
    <row r="182" spans="2:9" x14ac:dyDescent="0.25">
      <c r="B182" t="s">
        <v>399</v>
      </c>
      <c r="C182" t="s">
        <v>190</v>
      </c>
      <c r="G182" t="s">
        <v>469</v>
      </c>
      <c r="H182" t="s">
        <v>299</v>
      </c>
      <c r="I182" t="s">
        <v>196</v>
      </c>
    </row>
    <row r="183" spans="2:9" x14ac:dyDescent="0.25">
      <c r="B183" t="s">
        <v>400</v>
      </c>
      <c r="C183" t="s">
        <v>191</v>
      </c>
      <c r="G183" t="s">
        <v>469</v>
      </c>
      <c r="H183" t="s">
        <v>402</v>
      </c>
      <c r="I183" t="s">
        <v>197</v>
      </c>
    </row>
    <row r="184" spans="2:9" x14ac:dyDescent="0.25">
      <c r="B184" t="s">
        <v>401</v>
      </c>
      <c r="C184" t="s">
        <v>192</v>
      </c>
      <c r="G184" t="s">
        <v>469</v>
      </c>
      <c r="H184" t="s">
        <v>403</v>
      </c>
      <c r="I184" t="s">
        <v>198</v>
      </c>
    </row>
    <row r="185" spans="2:9" x14ac:dyDescent="0.25">
      <c r="B185" t="s">
        <v>296</v>
      </c>
      <c r="C185" t="s">
        <v>193</v>
      </c>
      <c r="G185" t="s">
        <v>469</v>
      </c>
      <c r="H185" t="s">
        <v>300</v>
      </c>
      <c r="I185" t="s">
        <v>199</v>
      </c>
    </row>
    <row r="186" spans="2:9" x14ac:dyDescent="0.25">
      <c r="B186" t="s">
        <v>297</v>
      </c>
      <c r="C186" t="s">
        <v>194</v>
      </c>
      <c r="G186" t="s">
        <v>469</v>
      </c>
      <c r="H186" t="s">
        <v>301</v>
      </c>
      <c r="I186" t="s">
        <v>200</v>
      </c>
    </row>
    <row r="187" spans="2:9" x14ac:dyDescent="0.25">
      <c r="B187" t="s">
        <v>298</v>
      </c>
      <c r="C187" t="s">
        <v>195</v>
      </c>
      <c r="G187" t="s">
        <v>469</v>
      </c>
      <c r="H187" t="s">
        <v>404</v>
      </c>
      <c r="I187" t="s">
        <v>201</v>
      </c>
    </row>
    <row r="188" spans="2:9" x14ac:dyDescent="0.25">
      <c r="B188" t="s">
        <v>299</v>
      </c>
      <c r="C188" t="s">
        <v>196</v>
      </c>
      <c r="G188" t="s">
        <v>469</v>
      </c>
      <c r="H188" t="s">
        <v>302</v>
      </c>
      <c r="I188" t="s">
        <v>202</v>
      </c>
    </row>
    <row r="189" spans="2:9" x14ac:dyDescent="0.25">
      <c r="B189" t="s">
        <v>402</v>
      </c>
      <c r="C189" t="s">
        <v>197</v>
      </c>
      <c r="G189" t="s">
        <v>469</v>
      </c>
      <c r="H189" t="s">
        <v>303</v>
      </c>
      <c r="I189" t="s">
        <v>203</v>
      </c>
    </row>
    <row r="190" spans="2:9" x14ac:dyDescent="0.25">
      <c r="B190" t="s">
        <v>403</v>
      </c>
      <c r="C190" t="s">
        <v>198</v>
      </c>
      <c r="G190" t="s">
        <v>469</v>
      </c>
      <c r="H190" t="s">
        <v>405</v>
      </c>
      <c r="I190" t="s">
        <v>204</v>
      </c>
    </row>
    <row r="191" spans="2:9" x14ac:dyDescent="0.25">
      <c r="B191" t="s">
        <v>300</v>
      </c>
      <c r="C191" t="s">
        <v>199</v>
      </c>
      <c r="G191" t="s">
        <v>469</v>
      </c>
      <c r="H191" t="s">
        <v>304</v>
      </c>
      <c r="I191" t="s">
        <v>205</v>
      </c>
    </row>
    <row r="192" spans="2:9" x14ac:dyDescent="0.25">
      <c r="B192" t="s">
        <v>301</v>
      </c>
      <c r="C192" t="s">
        <v>200</v>
      </c>
      <c r="G192" t="s">
        <v>469</v>
      </c>
      <c r="H192" t="s">
        <v>305</v>
      </c>
      <c r="I192" t="s">
        <v>206</v>
      </c>
    </row>
    <row r="193" spans="2:9" x14ac:dyDescent="0.25">
      <c r="B193" t="s">
        <v>404</v>
      </c>
      <c r="C193" t="s">
        <v>201</v>
      </c>
      <c r="G193" t="s">
        <v>469</v>
      </c>
      <c r="H193" t="s">
        <v>306</v>
      </c>
      <c r="I193" t="s">
        <v>207</v>
      </c>
    </row>
    <row r="194" spans="2:9" x14ac:dyDescent="0.25">
      <c r="B194" t="s">
        <v>302</v>
      </c>
      <c r="C194" t="s">
        <v>202</v>
      </c>
      <c r="G194" t="s">
        <v>469</v>
      </c>
      <c r="H194" t="s">
        <v>307</v>
      </c>
      <c r="I194" t="s">
        <v>208</v>
      </c>
    </row>
    <row r="195" spans="2:9" x14ac:dyDescent="0.25">
      <c r="B195" t="s">
        <v>303</v>
      </c>
      <c r="C195" t="s">
        <v>203</v>
      </c>
      <c r="G195" t="s">
        <v>469</v>
      </c>
      <c r="H195" t="s">
        <v>406</v>
      </c>
      <c r="I195" t="s">
        <v>209</v>
      </c>
    </row>
    <row r="196" spans="2:9" x14ac:dyDescent="0.25">
      <c r="B196" t="s">
        <v>405</v>
      </c>
      <c r="C196" t="s">
        <v>204</v>
      </c>
      <c r="G196" t="s">
        <v>469</v>
      </c>
      <c r="H196" t="s">
        <v>407</v>
      </c>
      <c r="I196" t="s">
        <v>210</v>
      </c>
    </row>
    <row r="197" spans="2:9" x14ac:dyDescent="0.25">
      <c r="B197" t="s">
        <v>304</v>
      </c>
      <c r="C197" t="s">
        <v>205</v>
      </c>
      <c r="G197" t="s">
        <v>473</v>
      </c>
      <c r="H197" t="s">
        <v>410</v>
      </c>
      <c r="I197" t="s">
        <v>410</v>
      </c>
    </row>
    <row r="198" spans="2:9" x14ac:dyDescent="0.25">
      <c r="B198" t="s">
        <v>305</v>
      </c>
      <c r="C198" t="s">
        <v>206</v>
      </c>
      <c r="G198" t="s">
        <v>473</v>
      </c>
      <c r="H198" t="s">
        <v>411</v>
      </c>
      <c r="I198" t="s">
        <v>411</v>
      </c>
    </row>
    <row r="199" spans="2:9" x14ac:dyDescent="0.25">
      <c r="B199" t="s">
        <v>306</v>
      </c>
      <c r="C199" t="s">
        <v>207</v>
      </c>
      <c r="G199" t="s">
        <v>473</v>
      </c>
      <c r="H199" t="s">
        <v>412</v>
      </c>
      <c r="I199" t="s">
        <v>412</v>
      </c>
    </row>
    <row r="200" spans="2:9" x14ac:dyDescent="0.25">
      <c r="B200" t="s">
        <v>307</v>
      </c>
      <c r="C200" t="s">
        <v>208</v>
      </c>
      <c r="G200" t="s">
        <v>473</v>
      </c>
      <c r="H200" t="s">
        <v>413</v>
      </c>
      <c r="I200" t="s">
        <v>413</v>
      </c>
    </row>
    <row r="201" spans="2:9" x14ac:dyDescent="0.25">
      <c r="B201" t="s">
        <v>406</v>
      </c>
      <c r="C201" t="s">
        <v>209</v>
      </c>
      <c r="G201" t="s">
        <v>473</v>
      </c>
      <c r="H201" t="s">
        <v>414</v>
      </c>
      <c r="I201" t="s">
        <v>414</v>
      </c>
    </row>
    <row r="202" spans="2:9" x14ac:dyDescent="0.25">
      <c r="B202" t="s">
        <v>407</v>
      </c>
      <c r="C202" t="s">
        <v>210</v>
      </c>
      <c r="G202" t="s">
        <v>473</v>
      </c>
      <c r="H202" t="s">
        <v>415</v>
      </c>
      <c r="I202" t="s">
        <v>415</v>
      </c>
    </row>
    <row r="203" spans="2:9" x14ac:dyDescent="0.25">
      <c r="G203" t="s">
        <v>473</v>
      </c>
      <c r="H203" t="s">
        <v>416</v>
      </c>
      <c r="I203" t="s">
        <v>416</v>
      </c>
    </row>
    <row r="204" spans="2:9" x14ac:dyDescent="0.25">
      <c r="G204" t="s">
        <v>473</v>
      </c>
      <c r="H204" t="s">
        <v>417</v>
      </c>
      <c r="I204" t="s">
        <v>417</v>
      </c>
    </row>
    <row r="205" spans="2:9" x14ac:dyDescent="0.25">
      <c r="G205" t="s">
        <v>473</v>
      </c>
      <c r="H205" t="s">
        <v>418</v>
      </c>
      <c r="I205" t="s">
        <v>418</v>
      </c>
    </row>
    <row r="206" spans="2:9" x14ac:dyDescent="0.25">
      <c r="G206" t="s">
        <v>473</v>
      </c>
      <c r="H206" t="s">
        <v>419</v>
      </c>
      <c r="I206" t="s">
        <v>419</v>
      </c>
    </row>
    <row r="207" spans="2:9" x14ac:dyDescent="0.25">
      <c r="G207" t="s">
        <v>473</v>
      </c>
      <c r="H207" t="s">
        <v>420</v>
      </c>
      <c r="I207" t="s">
        <v>420</v>
      </c>
    </row>
    <row r="208" spans="2:9" x14ac:dyDescent="0.25">
      <c r="G208" t="s">
        <v>473</v>
      </c>
      <c r="H208" t="s">
        <v>421</v>
      </c>
      <c r="I208" t="s">
        <v>421</v>
      </c>
    </row>
    <row r="209" spans="7:9" x14ac:dyDescent="0.25">
      <c r="G209" t="s">
        <v>473</v>
      </c>
      <c r="H209" t="s">
        <v>422</v>
      </c>
      <c r="I209" t="s">
        <v>422</v>
      </c>
    </row>
    <row r="210" spans="7:9" x14ac:dyDescent="0.25">
      <c r="G210" t="s">
        <v>473</v>
      </c>
      <c r="H210" t="s">
        <v>423</v>
      </c>
      <c r="I210" t="s">
        <v>423</v>
      </c>
    </row>
    <row r="211" spans="7:9" x14ac:dyDescent="0.25">
      <c r="G211" t="s">
        <v>473</v>
      </c>
      <c r="H211" t="s">
        <v>424</v>
      </c>
      <c r="I211" t="s">
        <v>424</v>
      </c>
    </row>
    <row r="212" spans="7:9" x14ac:dyDescent="0.25">
      <c r="G212" t="s">
        <v>473</v>
      </c>
      <c r="H212" t="s">
        <v>425</v>
      </c>
      <c r="I212" t="s">
        <v>425</v>
      </c>
    </row>
    <row r="213" spans="7:9" x14ac:dyDescent="0.25">
      <c r="G213" t="s">
        <v>473</v>
      </c>
      <c r="H213" t="s">
        <v>426</v>
      </c>
      <c r="I213" t="s">
        <v>426</v>
      </c>
    </row>
    <row r="214" spans="7:9" x14ac:dyDescent="0.25">
      <c r="G214" t="s">
        <v>473</v>
      </c>
      <c r="H214" t="s">
        <v>427</v>
      </c>
      <c r="I214" t="s">
        <v>427</v>
      </c>
    </row>
    <row r="215" spans="7:9" x14ac:dyDescent="0.25">
      <c r="G215" t="s">
        <v>473</v>
      </c>
      <c r="H215" t="s">
        <v>428</v>
      </c>
      <c r="I215" t="s">
        <v>428</v>
      </c>
    </row>
    <row r="216" spans="7:9" x14ac:dyDescent="0.25">
      <c r="G216" t="s">
        <v>473</v>
      </c>
      <c r="H216" t="s">
        <v>429</v>
      </c>
      <c r="I216" t="s">
        <v>429</v>
      </c>
    </row>
    <row r="217" spans="7:9" x14ac:dyDescent="0.25">
      <c r="G217" t="s">
        <v>473</v>
      </c>
      <c r="H217" t="s">
        <v>430</v>
      </c>
      <c r="I217" t="s">
        <v>430</v>
      </c>
    </row>
    <row r="218" spans="7:9" x14ac:dyDescent="0.25">
      <c r="G218" t="s">
        <v>473</v>
      </c>
      <c r="H218" t="s">
        <v>431</v>
      </c>
      <c r="I218" t="s">
        <v>431</v>
      </c>
    </row>
    <row r="219" spans="7:9" x14ac:dyDescent="0.25">
      <c r="G219" t="s">
        <v>473</v>
      </c>
      <c r="H219" t="s">
        <v>432</v>
      </c>
      <c r="I219" t="s">
        <v>432</v>
      </c>
    </row>
    <row r="220" spans="7:9" x14ac:dyDescent="0.25">
      <c r="G220" t="s">
        <v>473</v>
      </c>
      <c r="H220" t="s">
        <v>433</v>
      </c>
      <c r="I220" t="s">
        <v>433</v>
      </c>
    </row>
    <row r="221" spans="7:9" x14ac:dyDescent="0.25">
      <c r="G221" t="s">
        <v>473</v>
      </c>
      <c r="H221" t="s">
        <v>434</v>
      </c>
      <c r="I221" t="s">
        <v>434</v>
      </c>
    </row>
    <row r="222" spans="7:9" x14ac:dyDescent="0.25">
      <c r="G222" t="s">
        <v>473</v>
      </c>
      <c r="H222" t="s">
        <v>435</v>
      </c>
      <c r="I222" t="s">
        <v>435</v>
      </c>
    </row>
    <row r="223" spans="7:9" x14ac:dyDescent="0.25">
      <c r="G223" t="s">
        <v>473</v>
      </c>
      <c r="H223" t="s">
        <v>436</v>
      </c>
      <c r="I223" t="s">
        <v>436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101"/>
  <sheetViews>
    <sheetView workbookViewId="0">
      <selection activeCell="B7" sqref="B7"/>
    </sheetView>
  </sheetViews>
  <sheetFormatPr baseColWidth="10" defaultColWidth="11.42578125" defaultRowHeight="15" x14ac:dyDescent="0.25"/>
  <cols>
    <col min="2" max="2" width="23.5703125" customWidth="1"/>
    <col min="6" max="6" width="16.42578125" customWidth="1"/>
  </cols>
  <sheetData>
    <row r="1" spans="1:18" ht="16.5" thickTop="1" thickBot="1" x14ac:dyDescent="0.3">
      <c r="A1" s="6" t="s">
        <v>502</v>
      </c>
      <c r="B1" s="28" t="s">
        <v>486</v>
      </c>
      <c r="C1" s="6" t="s">
        <v>487</v>
      </c>
      <c r="D1" s="6" t="s">
        <v>488</v>
      </c>
      <c r="E1" s="6" t="s">
        <v>489</v>
      </c>
      <c r="F1" s="6" t="s">
        <v>490</v>
      </c>
      <c r="G1" s="6" t="s">
        <v>0</v>
      </c>
      <c r="H1" s="6" t="s">
        <v>491</v>
      </c>
      <c r="I1" s="6" t="s">
        <v>492</v>
      </c>
      <c r="J1" s="6" t="s">
        <v>493</v>
      </c>
      <c r="K1" s="6" t="s">
        <v>494</v>
      </c>
      <c r="L1" s="6" t="s">
        <v>495</v>
      </c>
      <c r="M1" s="6" t="s">
        <v>496</v>
      </c>
      <c r="N1" s="6" t="s">
        <v>497</v>
      </c>
      <c r="O1" s="6" t="s">
        <v>498</v>
      </c>
      <c r="P1" s="6" t="s">
        <v>499</v>
      </c>
      <c r="Q1" s="6" t="s">
        <v>500</v>
      </c>
      <c r="R1" s="6" t="s">
        <v>503</v>
      </c>
    </row>
    <row r="2" spans="1:18" ht="15.75" thickTop="1" x14ac:dyDescent="0.25">
      <c r="A2">
        <f>Informação!B13</f>
        <v>-1</v>
      </c>
      <c r="B2" s="29" t="str">
        <f>CONCATENATE(TEXT(YEAR(Informação!G13),"0000"),"-",TEXT(MONTH(Informação!G13),"00"),"-",TEXT(DAY(Informação!G13),"00"))</f>
        <v>1900-01-00</v>
      </c>
      <c r="C2">
        <f>Informação!D13</f>
        <v>0</v>
      </c>
      <c r="D2">
        <f>Informação!E13</f>
        <v>0</v>
      </c>
      <c r="E2" t="e">
        <f>Informação!Q13</f>
        <v>#N/A</v>
      </c>
      <c r="F2" s="26">
        <f>Informação!I13</f>
        <v>0</v>
      </c>
      <c r="G2">
        <f>Informação!F13</f>
        <v>0</v>
      </c>
      <c r="H2">
        <f>Informação!M13</f>
        <v>0</v>
      </c>
      <c r="I2">
        <f>Informação!L13</f>
        <v>0</v>
      </c>
      <c r="J2">
        <f>Informação!K13</f>
        <v>0</v>
      </c>
      <c r="K2">
        <f>Informação!J13</f>
        <v>0</v>
      </c>
      <c r="L2">
        <f>Informação!N13</f>
        <v>0</v>
      </c>
      <c r="M2" t="str">
        <f>CONCATENATE(N2,"-",O2)</f>
        <v>0-0</v>
      </c>
      <c r="N2">
        <f>Informação!O13</f>
        <v>0</v>
      </c>
      <c r="O2">
        <f>Informação!P13</f>
        <v>0</v>
      </c>
      <c r="P2" t="s">
        <v>501</v>
      </c>
      <c r="Q2" t="s">
        <v>501</v>
      </c>
      <c r="R2">
        <f>Informação!$G$5</f>
        <v>0</v>
      </c>
    </row>
    <row r="3" spans="1:18" x14ac:dyDescent="0.25">
      <c r="A3">
        <f>Informação!B14</f>
        <v>-1</v>
      </c>
      <c r="B3" s="29" t="str">
        <f>CONCATENATE(TEXT(YEAR(Informação!G14),"0000"),"-",TEXT(MONTH(Informação!G14),"00"),"-",TEXT(DAY(Informação!G14),"00"))</f>
        <v>1900-01-00</v>
      </c>
      <c r="C3">
        <f>Informação!D14</f>
        <v>0</v>
      </c>
      <c r="D3">
        <f>Informação!E14</f>
        <v>0</v>
      </c>
      <c r="E3" t="e">
        <f>Informação!Q14</f>
        <v>#N/A</v>
      </c>
      <c r="F3" s="26">
        <f>Informação!I14</f>
        <v>0</v>
      </c>
      <c r="G3">
        <f>Informação!F14</f>
        <v>0</v>
      </c>
      <c r="H3">
        <f>Informação!M14</f>
        <v>0</v>
      </c>
      <c r="I3">
        <f>Informação!L14</f>
        <v>0</v>
      </c>
      <c r="J3">
        <f>Informação!K14</f>
        <v>0</v>
      </c>
      <c r="K3">
        <f>Informação!J14</f>
        <v>0</v>
      </c>
      <c r="L3">
        <f>Informação!N14</f>
        <v>0</v>
      </c>
      <c r="M3" t="str">
        <f t="shared" ref="M3:M26" si="0">CONCATENATE(N3,"-",O3)</f>
        <v>0-0</v>
      </c>
      <c r="N3">
        <f>Informação!O14</f>
        <v>0</v>
      </c>
      <c r="O3">
        <f>Informação!P14</f>
        <v>0</v>
      </c>
      <c r="P3" t="s">
        <v>501</v>
      </c>
      <c r="Q3" t="s">
        <v>501</v>
      </c>
      <c r="R3">
        <f>Informação!$G$5</f>
        <v>0</v>
      </c>
    </row>
    <row r="4" spans="1:18" x14ac:dyDescent="0.25">
      <c r="A4">
        <f>Informação!B15</f>
        <v>-1</v>
      </c>
      <c r="B4" s="29" t="str">
        <f>CONCATENATE(TEXT(YEAR(Informação!G15),"0000"),"-",TEXT(MONTH(Informação!G15),"00"),"-",TEXT(DAY(Informação!G15),"00"))</f>
        <v>1900-01-00</v>
      </c>
      <c r="C4">
        <f>Informação!D15</f>
        <v>0</v>
      </c>
      <c r="D4">
        <f>Informação!E15</f>
        <v>0</v>
      </c>
      <c r="E4" t="e">
        <f>Informação!Q15</f>
        <v>#N/A</v>
      </c>
      <c r="F4" s="26">
        <f>Informação!I15</f>
        <v>0</v>
      </c>
      <c r="G4">
        <f>Informação!F15</f>
        <v>0</v>
      </c>
      <c r="H4">
        <f>Informação!M15</f>
        <v>0</v>
      </c>
      <c r="I4">
        <f>Informação!L15</f>
        <v>0</v>
      </c>
      <c r="J4">
        <f>Informação!K15</f>
        <v>0</v>
      </c>
      <c r="K4">
        <f>Informação!J15</f>
        <v>0</v>
      </c>
      <c r="L4">
        <f>Informação!N15</f>
        <v>0</v>
      </c>
      <c r="M4" t="str">
        <f t="shared" si="0"/>
        <v>0-0</v>
      </c>
      <c r="N4">
        <f>Informação!O15</f>
        <v>0</v>
      </c>
      <c r="O4">
        <f>Informação!P15</f>
        <v>0</v>
      </c>
      <c r="P4" t="s">
        <v>501</v>
      </c>
      <c r="Q4" t="s">
        <v>501</v>
      </c>
      <c r="R4">
        <f>Informação!$G$5</f>
        <v>0</v>
      </c>
    </row>
    <row r="5" spans="1:18" x14ac:dyDescent="0.25">
      <c r="A5">
        <f>Informação!B16</f>
        <v>-1</v>
      </c>
      <c r="B5" s="29" t="str">
        <f>CONCATENATE(TEXT(YEAR(Informação!G16),"0000"),"-",TEXT(MONTH(Informação!G16),"00"),"-",TEXT(DAY(Informação!G16),"00"))</f>
        <v>1900-01-00</v>
      </c>
      <c r="C5">
        <f>Informação!D16</f>
        <v>0</v>
      </c>
      <c r="D5">
        <f>Informação!E16</f>
        <v>0</v>
      </c>
      <c r="E5" t="e">
        <f>Informação!Q16</f>
        <v>#N/A</v>
      </c>
      <c r="F5" s="26">
        <f>Informação!I16</f>
        <v>0</v>
      </c>
      <c r="G5">
        <f>Informação!F16</f>
        <v>0</v>
      </c>
      <c r="H5">
        <f>Informação!M16</f>
        <v>0</v>
      </c>
      <c r="I5">
        <f>Informação!L16</f>
        <v>0</v>
      </c>
      <c r="J5">
        <f>Informação!K16</f>
        <v>0</v>
      </c>
      <c r="K5">
        <f>Informação!J16</f>
        <v>0</v>
      </c>
      <c r="L5">
        <f>Informação!N16</f>
        <v>0</v>
      </c>
      <c r="M5" t="str">
        <f t="shared" si="0"/>
        <v>0-0</v>
      </c>
      <c r="N5">
        <f>Informação!O16</f>
        <v>0</v>
      </c>
      <c r="O5">
        <f>Informação!P16</f>
        <v>0</v>
      </c>
      <c r="P5" t="s">
        <v>501</v>
      </c>
      <c r="Q5" t="s">
        <v>501</v>
      </c>
      <c r="R5">
        <f>Informação!$G$5</f>
        <v>0</v>
      </c>
    </row>
    <row r="6" spans="1:18" x14ac:dyDescent="0.25">
      <c r="A6">
        <f>Informação!B17</f>
        <v>-1</v>
      </c>
      <c r="B6" s="29" t="str">
        <f>CONCATENATE(TEXT(YEAR(Informação!G17),"0000"),"-",TEXT(MONTH(Informação!G17),"00"),"-",TEXT(DAY(Informação!G17),"00"))</f>
        <v>1900-01-00</v>
      </c>
      <c r="C6">
        <f>Informação!D17</f>
        <v>0</v>
      </c>
      <c r="D6">
        <f>Informação!E17</f>
        <v>0</v>
      </c>
      <c r="E6" t="e">
        <f>Informação!Q17</f>
        <v>#N/A</v>
      </c>
      <c r="F6" s="26">
        <f>Informação!I17</f>
        <v>0</v>
      </c>
      <c r="G6">
        <f>Informação!F17</f>
        <v>0</v>
      </c>
      <c r="H6">
        <f>Informação!M17</f>
        <v>0</v>
      </c>
      <c r="I6">
        <f>Informação!L17</f>
        <v>0</v>
      </c>
      <c r="J6">
        <f>Informação!K17</f>
        <v>0</v>
      </c>
      <c r="K6">
        <f>Informação!J17</f>
        <v>0</v>
      </c>
      <c r="L6">
        <f>Informação!N17</f>
        <v>0</v>
      </c>
      <c r="M6" t="str">
        <f t="shared" si="0"/>
        <v>0-0</v>
      </c>
      <c r="N6">
        <f>Informação!O17</f>
        <v>0</v>
      </c>
      <c r="O6">
        <f>Informação!P17</f>
        <v>0</v>
      </c>
      <c r="P6" t="s">
        <v>501</v>
      </c>
      <c r="Q6" t="s">
        <v>501</v>
      </c>
      <c r="R6">
        <f>Informação!$G$5</f>
        <v>0</v>
      </c>
    </row>
    <row r="7" spans="1:18" x14ac:dyDescent="0.25">
      <c r="A7">
        <f>Informação!B18</f>
        <v>-1</v>
      </c>
      <c r="B7" s="29" t="str">
        <f>CONCATENATE(TEXT(YEAR(Informação!G18),"0000"),"-",TEXT(MONTH(Informação!G18),"00"),"-",TEXT(DAY(Informação!G18),"00"))</f>
        <v>1900-01-00</v>
      </c>
      <c r="C7">
        <f>Informação!D18</f>
        <v>0</v>
      </c>
      <c r="D7">
        <f>Informação!E18</f>
        <v>0</v>
      </c>
      <c r="E7" t="e">
        <f>Informação!Q18</f>
        <v>#N/A</v>
      </c>
      <c r="F7" s="26">
        <f>Informação!I18</f>
        <v>0</v>
      </c>
      <c r="G7">
        <f>Informação!F18</f>
        <v>0</v>
      </c>
      <c r="H7">
        <f>Informação!M18</f>
        <v>0</v>
      </c>
      <c r="I7">
        <f>Informação!L18</f>
        <v>0</v>
      </c>
      <c r="J7">
        <f>Informação!K18</f>
        <v>0</v>
      </c>
      <c r="K7">
        <f>Informação!J18</f>
        <v>0</v>
      </c>
      <c r="L7">
        <f>Informação!N18</f>
        <v>0</v>
      </c>
      <c r="M7" t="str">
        <f t="shared" si="0"/>
        <v>0-0</v>
      </c>
      <c r="N7">
        <f>Informação!O18</f>
        <v>0</v>
      </c>
      <c r="O7">
        <f>Informação!P18</f>
        <v>0</v>
      </c>
      <c r="P7" t="s">
        <v>501</v>
      </c>
      <c r="Q7" t="s">
        <v>501</v>
      </c>
      <c r="R7">
        <f>Informação!$G$5</f>
        <v>0</v>
      </c>
    </row>
    <row r="8" spans="1:18" x14ac:dyDescent="0.25">
      <c r="A8">
        <f>Informação!B19</f>
        <v>-1</v>
      </c>
      <c r="B8" s="29" t="str">
        <f>CONCATENATE(TEXT(YEAR(Informação!G19),"0000"),"-",TEXT(MONTH(Informação!G19),"00"),"-",TEXT(DAY(Informação!G19),"00"))</f>
        <v>1900-01-00</v>
      </c>
      <c r="C8">
        <f>Informação!D19</f>
        <v>0</v>
      </c>
      <c r="D8">
        <f>Informação!E19</f>
        <v>0</v>
      </c>
      <c r="E8" t="e">
        <f>Informação!Q19</f>
        <v>#N/A</v>
      </c>
      <c r="F8" s="26">
        <f>Informação!I19</f>
        <v>0</v>
      </c>
      <c r="G8">
        <f>Informação!F19</f>
        <v>0</v>
      </c>
      <c r="H8">
        <f>Informação!M19</f>
        <v>0</v>
      </c>
      <c r="I8">
        <f>Informação!L19</f>
        <v>0</v>
      </c>
      <c r="J8">
        <f>Informação!K19</f>
        <v>0</v>
      </c>
      <c r="K8">
        <f>Informação!J19</f>
        <v>0</v>
      </c>
      <c r="L8">
        <f>Informação!N19</f>
        <v>0</v>
      </c>
      <c r="M8" t="str">
        <f t="shared" si="0"/>
        <v>0-0</v>
      </c>
      <c r="N8">
        <f>Informação!O19</f>
        <v>0</v>
      </c>
      <c r="O8">
        <f>Informação!P19</f>
        <v>0</v>
      </c>
      <c r="P8" t="s">
        <v>501</v>
      </c>
      <c r="Q8" t="s">
        <v>501</v>
      </c>
      <c r="R8">
        <f>Informação!$G$5</f>
        <v>0</v>
      </c>
    </row>
    <row r="9" spans="1:18" x14ac:dyDescent="0.25">
      <c r="A9">
        <f>Informação!B20</f>
        <v>-1</v>
      </c>
      <c r="B9" s="29" t="str">
        <f>CONCATENATE(TEXT(YEAR(Informação!G20),"0000"),"-",TEXT(MONTH(Informação!G20),"00"),"-",TEXT(DAY(Informação!G20),"00"))</f>
        <v>1900-01-00</v>
      </c>
      <c r="C9">
        <f>Informação!D20</f>
        <v>0</v>
      </c>
      <c r="D9">
        <f>Informação!E20</f>
        <v>0</v>
      </c>
      <c r="E9" t="e">
        <f>Informação!Q20</f>
        <v>#N/A</v>
      </c>
      <c r="F9" s="26">
        <f>Informação!I20</f>
        <v>0</v>
      </c>
      <c r="G9">
        <f>Informação!F20</f>
        <v>0</v>
      </c>
      <c r="H9">
        <f>Informação!M20</f>
        <v>0</v>
      </c>
      <c r="I9">
        <f>Informação!L20</f>
        <v>0</v>
      </c>
      <c r="J9">
        <f>Informação!K20</f>
        <v>0</v>
      </c>
      <c r="K9">
        <f>Informação!J20</f>
        <v>0</v>
      </c>
      <c r="L9">
        <f>Informação!N20</f>
        <v>0</v>
      </c>
      <c r="M9" t="str">
        <f t="shared" si="0"/>
        <v>0-0</v>
      </c>
      <c r="N9">
        <f>Informação!O20</f>
        <v>0</v>
      </c>
      <c r="O9">
        <f>Informação!P20</f>
        <v>0</v>
      </c>
      <c r="P9" t="s">
        <v>501</v>
      </c>
      <c r="Q9" t="s">
        <v>501</v>
      </c>
      <c r="R9">
        <f>Informação!$G$5</f>
        <v>0</v>
      </c>
    </row>
    <row r="10" spans="1:18" x14ac:dyDescent="0.25">
      <c r="A10">
        <f>Informação!B21</f>
        <v>-1</v>
      </c>
      <c r="B10" s="29" t="str">
        <f>CONCATENATE(TEXT(YEAR(Informação!G21),"0000"),"-",TEXT(MONTH(Informação!G21),"00"),"-",TEXT(DAY(Informação!G21),"00"))</f>
        <v>1900-01-00</v>
      </c>
      <c r="C10">
        <f>Informação!D21</f>
        <v>0</v>
      </c>
      <c r="D10">
        <f>Informação!E21</f>
        <v>0</v>
      </c>
      <c r="E10" t="e">
        <f>Informação!Q21</f>
        <v>#N/A</v>
      </c>
      <c r="F10" s="26">
        <f>Informação!I21</f>
        <v>0</v>
      </c>
      <c r="G10">
        <f>Informação!F21</f>
        <v>0</v>
      </c>
      <c r="H10">
        <f>Informação!M21</f>
        <v>0</v>
      </c>
      <c r="I10">
        <f>Informação!L21</f>
        <v>0</v>
      </c>
      <c r="J10">
        <f>Informação!K21</f>
        <v>0</v>
      </c>
      <c r="K10">
        <f>Informação!J21</f>
        <v>0</v>
      </c>
      <c r="L10">
        <f>Informação!N21</f>
        <v>0</v>
      </c>
      <c r="M10" t="str">
        <f t="shared" si="0"/>
        <v>0-0</v>
      </c>
      <c r="N10">
        <f>Informação!O21</f>
        <v>0</v>
      </c>
      <c r="O10">
        <f>Informação!P21</f>
        <v>0</v>
      </c>
      <c r="P10" t="s">
        <v>501</v>
      </c>
      <c r="Q10" t="s">
        <v>501</v>
      </c>
      <c r="R10">
        <f>Informação!$G$5</f>
        <v>0</v>
      </c>
    </row>
    <row r="11" spans="1:18" x14ac:dyDescent="0.25">
      <c r="A11">
        <f>Informação!B22</f>
        <v>-1</v>
      </c>
      <c r="B11" s="29" t="str">
        <f>CONCATENATE(TEXT(YEAR(Informação!G22),"0000"),"-",TEXT(MONTH(Informação!G22),"00"),"-",TEXT(DAY(Informação!G22),"00"))</f>
        <v>1900-01-00</v>
      </c>
      <c r="C11" s="30">
        <f>Informação!D22</f>
        <v>0</v>
      </c>
      <c r="D11">
        <f>Informação!E22</f>
        <v>0</v>
      </c>
      <c r="E11" t="e">
        <f>Informação!Q22</f>
        <v>#N/A</v>
      </c>
      <c r="F11" s="26">
        <f>Informação!I22</f>
        <v>0</v>
      </c>
      <c r="G11">
        <f>Informação!F22</f>
        <v>0</v>
      </c>
      <c r="H11">
        <f>Informação!M22</f>
        <v>0</v>
      </c>
      <c r="I11">
        <f>Informação!L22</f>
        <v>0</v>
      </c>
      <c r="J11">
        <f>Informação!K22</f>
        <v>0</v>
      </c>
      <c r="K11">
        <f>Informação!J22</f>
        <v>0</v>
      </c>
      <c r="L11">
        <f>Informação!N22</f>
        <v>0</v>
      </c>
      <c r="M11" t="str">
        <f t="shared" si="0"/>
        <v>0-0</v>
      </c>
      <c r="N11">
        <f>Informação!O22</f>
        <v>0</v>
      </c>
      <c r="O11">
        <f>Informação!P22</f>
        <v>0</v>
      </c>
      <c r="P11" t="s">
        <v>501</v>
      </c>
      <c r="Q11" t="s">
        <v>501</v>
      </c>
      <c r="R11">
        <f>Informação!$G$5</f>
        <v>0</v>
      </c>
    </row>
    <row r="12" spans="1:18" x14ac:dyDescent="0.25">
      <c r="A12">
        <f>Informação!B23</f>
        <v>-1</v>
      </c>
      <c r="B12" s="29" t="str">
        <f>CONCATENATE(TEXT(YEAR(Informação!G23),"0000"),"-",TEXT(MONTH(Informação!G23),"00"),"-",TEXT(DAY(Informação!G23),"00"))</f>
        <v>1900-01-00</v>
      </c>
      <c r="C12">
        <f>Informação!D23</f>
        <v>0</v>
      </c>
      <c r="D12">
        <f>Informação!E23</f>
        <v>0</v>
      </c>
      <c r="E12" t="e">
        <f>Informação!Q23</f>
        <v>#N/A</v>
      </c>
      <c r="F12" s="26">
        <f>Informação!I23</f>
        <v>0</v>
      </c>
      <c r="G12">
        <f>Informação!F23</f>
        <v>0</v>
      </c>
      <c r="H12">
        <f>Informação!M23</f>
        <v>0</v>
      </c>
      <c r="I12">
        <f>Informação!L23</f>
        <v>0</v>
      </c>
      <c r="J12">
        <f>Informação!K23</f>
        <v>0</v>
      </c>
      <c r="K12">
        <f>Informação!J23</f>
        <v>0</v>
      </c>
      <c r="L12">
        <f>Informação!N23</f>
        <v>0</v>
      </c>
      <c r="M12" t="str">
        <f t="shared" si="0"/>
        <v>0-0</v>
      </c>
      <c r="N12">
        <f>Informação!O23</f>
        <v>0</v>
      </c>
      <c r="O12">
        <f>Informação!P23</f>
        <v>0</v>
      </c>
      <c r="P12" t="s">
        <v>501</v>
      </c>
      <c r="Q12" t="s">
        <v>501</v>
      </c>
      <c r="R12">
        <f>Informação!$G$5</f>
        <v>0</v>
      </c>
    </row>
    <row r="13" spans="1:18" x14ac:dyDescent="0.25">
      <c r="A13">
        <f>Informação!B24</f>
        <v>-1</v>
      </c>
      <c r="B13" s="29" t="str">
        <f>CONCATENATE(TEXT(YEAR(Informação!G24),"0000"),"-",TEXT(MONTH(Informação!G24),"00"),"-",TEXT(DAY(Informação!G24),"00"))</f>
        <v>1900-01-00</v>
      </c>
      <c r="C13">
        <f>Informação!D24</f>
        <v>0</v>
      </c>
      <c r="D13">
        <f>Informação!E24</f>
        <v>0</v>
      </c>
      <c r="E13" t="e">
        <f>Informação!Q24</f>
        <v>#N/A</v>
      </c>
      <c r="F13" s="26">
        <f>Informação!I24</f>
        <v>0</v>
      </c>
      <c r="G13">
        <f>Informação!F24</f>
        <v>0</v>
      </c>
      <c r="H13">
        <f>Informação!M24</f>
        <v>0</v>
      </c>
      <c r="I13">
        <f>Informação!L24</f>
        <v>0</v>
      </c>
      <c r="J13">
        <f>Informação!K24</f>
        <v>0</v>
      </c>
      <c r="K13">
        <f>Informação!J24</f>
        <v>0</v>
      </c>
      <c r="L13">
        <f>Informação!N24</f>
        <v>0</v>
      </c>
      <c r="M13" t="str">
        <f t="shared" si="0"/>
        <v>0-0</v>
      </c>
      <c r="N13">
        <f>Informação!O24</f>
        <v>0</v>
      </c>
      <c r="O13">
        <f>Informação!P24</f>
        <v>0</v>
      </c>
      <c r="P13" t="s">
        <v>501</v>
      </c>
      <c r="Q13" t="s">
        <v>501</v>
      </c>
      <c r="R13">
        <f>Informação!$G$5</f>
        <v>0</v>
      </c>
    </row>
    <row r="14" spans="1:18" x14ac:dyDescent="0.25">
      <c r="A14">
        <f>Informação!B25</f>
        <v>-1</v>
      </c>
      <c r="B14" s="29" t="str">
        <f>CONCATENATE(TEXT(YEAR(Informação!G25),"0000"),"-",TEXT(MONTH(Informação!G25),"00"),"-",TEXT(DAY(Informação!G25),"00"))</f>
        <v>1900-01-00</v>
      </c>
      <c r="C14">
        <f>Informação!D25</f>
        <v>0</v>
      </c>
      <c r="D14">
        <f>Informação!E25</f>
        <v>0</v>
      </c>
      <c r="E14" t="e">
        <f>Informação!Q25</f>
        <v>#N/A</v>
      </c>
      <c r="F14" s="26">
        <f>Informação!I25</f>
        <v>0</v>
      </c>
      <c r="G14">
        <f>Informação!F25</f>
        <v>0</v>
      </c>
      <c r="H14">
        <f>Informação!M25</f>
        <v>0</v>
      </c>
      <c r="I14">
        <f>Informação!L25</f>
        <v>0</v>
      </c>
      <c r="J14">
        <f>Informação!K25</f>
        <v>0</v>
      </c>
      <c r="K14">
        <f>Informação!J25</f>
        <v>0</v>
      </c>
      <c r="L14">
        <f>Informação!N25</f>
        <v>0</v>
      </c>
      <c r="M14" t="str">
        <f t="shared" si="0"/>
        <v>0-0</v>
      </c>
      <c r="N14">
        <f>Informação!O25</f>
        <v>0</v>
      </c>
      <c r="O14">
        <f>Informação!P25</f>
        <v>0</v>
      </c>
      <c r="P14" t="s">
        <v>501</v>
      </c>
      <c r="Q14" t="s">
        <v>501</v>
      </c>
      <c r="R14">
        <f>Informação!$G$5</f>
        <v>0</v>
      </c>
    </row>
    <row r="15" spans="1:18" x14ac:dyDescent="0.25">
      <c r="A15">
        <f>Informação!B26</f>
        <v>-1</v>
      </c>
      <c r="B15" s="29" t="str">
        <f>CONCATENATE(TEXT(YEAR(Informação!G26),"0000"),"-",TEXT(MONTH(Informação!G26),"00"),"-",TEXT(DAY(Informação!G26),"00"))</f>
        <v>1900-01-00</v>
      </c>
      <c r="C15">
        <f>Informação!D26</f>
        <v>0</v>
      </c>
      <c r="D15">
        <f>Informação!E26</f>
        <v>0</v>
      </c>
      <c r="E15" t="e">
        <f>Informação!Q26</f>
        <v>#N/A</v>
      </c>
      <c r="F15" s="26">
        <f>Informação!I26</f>
        <v>0</v>
      </c>
      <c r="G15">
        <f>Informação!F26</f>
        <v>0</v>
      </c>
      <c r="H15">
        <f>Informação!M26</f>
        <v>0</v>
      </c>
      <c r="I15">
        <f>Informação!L26</f>
        <v>0</v>
      </c>
      <c r="J15">
        <f>Informação!K26</f>
        <v>0</v>
      </c>
      <c r="K15">
        <f>Informação!J26</f>
        <v>0</v>
      </c>
      <c r="L15">
        <f>Informação!N26</f>
        <v>0</v>
      </c>
      <c r="M15" t="str">
        <f t="shared" si="0"/>
        <v>0-0</v>
      </c>
      <c r="N15">
        <f>Informação!O26</f>
        <v>0</v>
      </c>
      <c r="O15">
        <f>Informação!P26</f>
        <v>0</v>
      </c>
      <c r="P15" t="s">
        <v>501</v>
      </c>
      <c r="Q15" t="s">
        <v>501</v>
      </c>
      <c r="R15">
        <f>Informação!$G$5</f>
        <v>0</v>
      </c>
    </row>
    <row r="16" spans="1:18" x14ac:dyDescent="0.25">
      <c r="A16">
        <f>Informação!B27</f>
        <v>-1</v>
      </c>
      <c r="B16" s="29" t="str">
        <f>CONCATENATE(TEXT(YEAR(Informação!G27),"0000"),"-",TEXT(MONTH(Informação!G27),"00"),"-",TEXT(DAY(Informação!G27),"00"))</f>
        <v>1900-01-00</v>
      </c>
      <c r="C16">
        <f>Informação!D27</f>
        <v>0</v>
      </c>
      <c r="D16">
        <f>Informação!E27</f>
        <v>0</v>
      </c>
      <c r="E16" t="e">
        <f>Informação!Q27</f>
        <v>#N/A</v>
      </c>
      <c r="F16" s="26">
        <f>Informação!I27</f>
        <v>0</v>
      </c>
      <c r="G16">
        <f>Informação!F27</f>
        <v>0</v>
      </c>
      <c r="H16">
        <f>Informação!M27</f>
        <v>0</v>
      </c>
      <c r="I16">
        <f>Informação!L27</f>
        <v>0</v>
      </c>
      <c r="J16">
        <f>Informação!K27</f>
        <v>0</v>
      </c>
      <c r="K16">
        <f>Informação!J27</f>
        <v>0</v>
      </c>
      <c r="L16">
        <f>Informação!N27</f>
        <v>0</v>
      </c>
      <c r="M16" t="str">
        <f t="shared" si="0"/>
        <v>0-0</v>
      </c>
      <c r="N16">
        <f>Informação!O27</f>
        <v>0</v>
      </c>
      <c r="O16">
        <f>Informação!P27</f>
        <v>0</v>
      </c>
      <c r="P16" t="s">
        <v>501</v>
      </c>
      <c r="Q16" t="s">
        <v>501</v>
      </c>
      <c r="R16">
        <f>Informação!$G$5</f>
        <v>0</v>
      </c>
    </row>
    <row r="17" spans="1:18" x14ac:dyDescent="0.25">
      <c r="A17">
        <f>Informação!B28</f>
        <v>-1</v>
      </c>
      <c r="B17" s="29" t="str">
        <f>CONCATENATE(TEXT(YEAR(Informação!G28),"0000"),"-",TEXT(MONTH(Informação!G28),"00"),"-",TEXT(DAY(Informação!G28),"00"))</f>
        <v>1900-01-00</v>
      </c>
      <c r="C17">
        <f>Informação!D28</f>
        <v>0</v>
      </c>
      <c r="D17">
        <f>Informação!E28</f>
        <v>0</v>
      </c>
      <c r="E17" t="e">
        <f>Informação!Q28</f>
        <v>#N/A</v>
      </c>
      <c r="F17" s="26">
        <f>Informação!I28</f>
        <v>0</v>
      </c>
      <c r="G17">
        <f>Informação!F28</f>
        <v>0</v>
      </c>
      <c r="H17">
        <f>Informação!M28</f>
        <v>0</v>
      </c>
      <c r="I17">
        <f>Informação!L28</f>
        <v>0</v>
      </c>
      <c r="J17">
        <f>Informação!K28</f>
        <v>0</v>
      </c>
      <c r="K17">
        <f>Informação!J28</f>
        <v>0</v>
      </c>
      <c r="L17">
        <f>Informação!N28</f>
        <v>0</v>
      </c>
      <c r="M17" t="str">
        <f t="shared" si="0"/>
        <v>0-0</v>
      </c>
      <c r="N17">
        <f>Informação!O28</f>
        <v>0</v>
      </c>
      <c r="O17">
        <f>Informação!P28</f>
        <v>0</v>
      </c>
      <c r="P17" t="s">
        <v>501</v>
      </c>
      <c r="Q17" t="s">
        <v>501</v>
      </c>
      <c r="R17">
        <f>Informação!$G$5</f>
        <v>0</v>
      </c>
    </row>
    <row r="18" spans="1:18" x14ac:dyDescent="0.25">
      <c r="A18">
        <f>Informação!B29</f>
        <v>-1</v>
      </c>
      <c r="B18" s="29" t="str">
        <f>CONCATENATE(TEXT(YEAR(Informação!G29),"0000"),"-",TEXT(MONTH(Informação!G29),"00"),"-",TEXT(DAY(Informação!G29),"00"))</f>
        <v>1900-01-00</v>
      </c>
      <c r="C18">
        <f>Informação!D29</f>
        <v>0</v>
      </c>
      <c r="D18">
        <f>Informação!E29</f>
        <v>0</v>
      </c>
      <c r="E18" t="e">
        <f>Informação!Q29</f>
        <v>#N/A</v>
      </c>
      <c r="F18" s="26">
        <f>Informação!I29</f>
        <v>0</v>
      </c>
      <c r="G18">
        <f>Informação!F29</f>
        <v>0</v>
      </c>
      <c r="H18">
        <f>Informação!M29</f>
        <v>0</v>
      </c>
      <c r="I18">
        <f>Informação!L29</f>
        <v>0</v>
      </c>
      <c r="J18">
        <f>Informação!K29</f>
        <v>0</v>
      </c>
      <c r="K18">
        <f>Informação!J29</f>
        <v>0</v>
      </c>
      <c r="L18">
        <f>Informação!N29</f>
        <v>0</v>
      </c>
      <c r="M18" t="str">
        <f t="shared" si="0"/>
        <v>0-0</v>
      </c>
      <c r="N18">
        <f>Informação!O29</f>
        <v>0</v>
      </c>
      <c r="O18">
        <f>Informação!P29</f>
        <v>0</v>
      </c>
      <c r="P18" t="s">
        <v>501</v>
      </c>
      <c r="Q18" t="s">
        <v>501</v>
      </c>
      <c r="R18">
        <f>Informação!$G$5</f>
        <v>0</v>
      </c>
    </row>
    <row r="19" spans="1:18" x14ac:dyDescent="0.25">
      <c r="A19">
        <f>Informação!B30</f>
        <v>-1</v>
      </c>
      <c r="B19" s="29" t="str">
        <f>CONCATENATE(TEXT(YEAR(Informação!G30),"0000"),"-",TEXT(MONTH(Informação!G30),"00"),"-",TEXT(DAY(Informação!G30),"00"))</f>
        <v>1900-01-00</v>
      </c>
      <c r="C19">
        <f>Informação!D30</f>
        <v>0</v>
      </c>
      <c r="D19">
        <f>Informação!E30</f>
        <v>0</v>
      </c>
      <c r="E19" t="e">
        <f>Informação!Q30</f>
        <v>#N/A</v>
      </c>
      <c r="F19" s="26">
        <f>Informação!I30</f>
        <v>0</v>
      </c>
      <c r="G19">
        <f>Informação!F30</f>
        <v>0</v>
      </c>
      <c r="H19">
        <f>Informação!M30</f>
        <v>0</v>
      </c>
      <c r="I19">
        <f>Informação!L30</f>
        <v>0</v>
      </c>
      <c r="J19">
        <f>Informação!K30</f>
        <v>0</v>
      </c>
      <c r="K19">
        <f>Informação!J30</f>
        <v>0</v>
      </c>
      <c r="L19">
        <f>Informação!N30</f>
        <v>0</v>
      </c>
      <c r="M19" t="str">
        <f t="shared" si="0"/>
        <v>0-0</v>
      </c>
      <c r="N19">
        <f>Informação!O30</f>
        <v>0</v>
      </c>
      <c r="O19">
        <f>Informação!P30</f>
        <v>0</v>
      </c>
      <c r="P19" t="s">
        <v>501</v>
      </c>
      <c r="Q19" t="s">
        <v>501</v>
      </c>
      <c r="R19">
        <f>Informação!$G$5</f>
        <v>0</v>
      </c>
    </row>
    <row r="20" spans="1:18" x14ac:dyDescent="0.25">
      <c r="A20">
        <f>Informação!B31</f>
        <v>-1</v>
      </c>
      <c r="B20" s="29" t="str">
        <f>CONCATENATE(TEXT(YEAR(Informação!G31),"0000"),"-",TEXT(MONTH(Informação!G31),"00"),"-",TEXT(DAY(Informação!G31),"00"))</f>
        <v>1900-01-00</v>
      </c>
      <c r="C20">
        <f>Informação!D31</f>
        <v>0</v>
      </c>
      <c r="D20">
        <f>Informação!E31</f>
        <v>0</v>
      </c>
      <c r="E20" t="e">
        <f>Informação!Q31</f>
        <v>#N/A</v>
      </c>
      <c r="F20" s="26">
        <f>Informação!I31</f>
        <v>0</v>
      </c>
      <c r="G20">
        <f>Informação!F31</f>
        <v>0</v>
      </c>
      <c r="H20">
        <f>Informação!M31</f>
        <v>0</v>
      </c>
      <c r="I20">
        <f>Informação!L31</f>
        <v>0</v>
      </c>
      <c r="J20">
        <f>Informação!K31</f>
        <v>0</v>
      </c>
      <c r="K20">
        <f>Informação!J31</f>
        <v>0</v>
      </c>
      <c r="L20">
        <f>Informação!N31</f>
        <v>0</v>
      </c>
      <c r="M20" t="str">
        <f t="shared" si="0"/>
        <v>0-0</v>
      </c>
      <c r="N20">
        <f>Informação!O31</f>
        <v>0</v>
      </c>
      <c r="O20">
        <f>Informação!P31</f>
        <v>0</v>
      </c>
      <c r="P20" t="s">
        <v>501</v>
      </c>
      <c r="Q20" t="s">
        <v>501</v>
      </c>
      <c r="R20">
        <f>Informação!$G$5</f>
        <v>0</v>
      </c>
    </row>
    <row r="21" spans="1:18" x14ac:dyDescent="0.25">
      <c r="A21">
        <f>Informação!B32</f>
        <v>-1</v>
      </c>
      <c r="B21" s="29" t="str">
        <f>CONCATENATE(TEXT(YEAR(Informação!G32),"0000"),"-",TEXT(MONTH(Informação!G32),"00"),"-",TEXT(DAY(Informação!G32),"00"))</f>
        <v>1900-01-00</v>
      </c>
      <c r="C21">
        <f>Informação!D32</f>
        <v>0</v>
      </c>
      <c r="D21">
        <f>Informação!E32</f>
        <v>0</v>
      </c>
      <c r="E21" t="e">
        <f>Informação!Q32</f>
        <v>#N/A</v>
      </c>
      <c r="F21" s="26">
        <f>Informação!I32</f>
        <v>0</v>
      </c>
      <c r="G21">
        <f>Informação!F32</f>
        <v>0</v>
      </c>
      <c r="H21">
        <f>Informação!M32</f>
        <v>0</v>
      </c>
      <c r="I21">
        <f>Informação!L32</f>
        <v>0</v>
      </c>
      <c r="J21">
        <f>Informação!K32</f>
        <v>0</v>
      </c>
      <c r="K21">
        <f>Informação!J32</f>
        <v>0</v>
      </c>
      <c r="L21">
        <f>Informação!N32</f>
        <v>0</v>
      </c>
      <c r="M21" t="str">
        <f t="shared" si="0"/>
        <v>0-0</v>
      </c>
      <c r="N21">
        <f>Informação!O32</f>
        <v>0</v>
      </c>
      <c r="O21">
        <f>Informação!P32</f>
        <v>0</v>
      </c>
      <c r="P21" t="s">
        <v>501</v>
      </c>
      <c r="Q21" t="s">
        <v>501</v>
      </c>
      <c r="R21">
        <f>Informação!$G$5</f>
        <v>0</v>
      </c>
    </row>
    <row r="22" spans="1:18" x14ac:dyDescent="0.25">
      <c r="A22">
        <f>Informação!B33</f>
        <v>-1</v>
      </c>
      <c r="B22" s="29" t="str">
        <f>CONCATENATE(TEXT(YEAR(Informação!G33),"0000"),"-",TEXT(MONTH(Informação!G33),"00"),"-",TEXT(DAY(Informação!G33),"00"))</f>
        <v>1900-01-00</v>
      </c>
      <c r="C22">
        <f>Informação!D33</f>
        <v>0</v>
      </c>
      <c r="D22">
        <f>Informação!E33</f>
        <v>0</v>
      </c>
      <c r="E22" t="e">
        <f>Informação!Q33</f>
        <v>#N/A</v>
      </c>
      <c r="F22" s="26">
        <f>Informação!I33</f>
        <v>0</v>
      </c>
      <c r="G22">
        <f>Informação!F33</f>
        <v>0</v>
      </c>
      <c r="H22">
        <f>Informação!M33</f>
        <v>0</v>
      </c>
      <c r="I22">
        <f>Informação!L33</f>
        <v>0</v>
      </c>
      <c r="J22">
        <f>Informação!K33</f>
        <v>0</v>
      </c>
      <c r="K22">
        <f>Informação!J33</f>
        <v>0</v>
      </c>
      <c r="L22">
        <f>Informação!N33</f>
        <v>0</v>
      </c>
      <c r="M22" t="str">
        <f t="shared" si="0"/>
        <v>0-0</v>
      </c>
      <c r="N22">
        <f>Informação!O33</f>
        <v>0</v>
      </c>
      <c r="O22">
        <f>Informação!P33</f>
        <v>0</v>
      </c>
      <c r="P22" t="s">
        <v>501</v>
      </c>
      <c r="Q22" t="s">
        <v>501</v>
      </c>
      <c r="R22">
        <f>Informação!$G$5</f>
        <v>0</v>
      </c>
    </row>
    <row r="23" spans="1:18" x14ac:dyDescent="0.25">
      <c r="A23">
        <f>Informação!B34</f>
        <v>-1</v>
      </c>
      <c r="B23" s="29" t="str">
        <f>CONCATENATE(TEXT(YEAR(Informação!G34),"0000"),"-",TEXT(MONTH(Informação!G34),"00"),"-",TEXT(DAY(Informação!G34),"00"))</f>
        <v>1900-01-00</v>
      </c>
      <c r="C23">
        <f>Informação!D34</f>
        <v>0</v>
      </c>
      <c r="D23">
        <f>Informação!E34</f>
        <v>0</v>
      </c>
      <c r="E23" t="e">
        <f>Informação!Q34</f>
        <v>#N/A</v>
      </c>
      <c r="F23" s="26">
        <f>Informação!I34</f>
        <v>0</v>
      </c>
      <c r="G23">
        <f>Informação!F34</f>
        <v>0</v>
      </c>
      <c r="H23">
        <f>Informação!M34</f>
        <v>0</v>
      </c>
      <c r="I23">
        <f>Informação!L34</f>
        <v>0</v>
      </c>
      <c r="J23">
        <f>Informação!K34</f>
        <v>0</v>
      </c>
      <c r="K23">
        <f>Informação!J34</f>
        <v>0</v>
      </c>
      <c r="L23">
        <f>Informação!N34</f>
        <v>0</v>
      </c>
      <c r="M23" t="str">
        <f t="shared" si="0"/>
        <v>0-0</v>
      </c>
      <c r="N23">
        <f>Informação!O34</f>
        <v>0</v>
      </c>
      <c r="O23">
        <f>Informação!P34</f>
        <v>0</v>
      </c>
      <c r="P23" t="s">
        <v>501</v>
      </c>
      <c r="Q23" t="s">
        <v>501</v>
      </c>
      <c r="R23">
        <f>Informação!$G$5</f>
        <v>0</v>
      </c>
    </row>
    <row r="24" spans="1:18" x14ac:dyDescent="0.25">
      <c r="A24">
        <f>Informação!B35</f>
        <v>-1</v>
      </c>
      <c r="B24" s="29" t="str">
        <f>CONCATENATE(TEXT(YEAR(Informação!G35),"0000"),"-",TEXT(MONTH(Informação!G35),"00"),"-",TEXT(DAY(Informação!G35),"00"))</f>
        <v>1900-01-00</v>
      </c>
      <c r="C24">
        <f>Informação!D35</f>
        <v>0</v>
      </c>
      <c r="D24">
        <f>Informação!E35</f>
        <v>0</v>
      </c>
      <c r="E24" t="e">
        <f>Informação!Q35</f>
        <v>#N/A</v>
      </c>
      <c r="F24" s="26">
        <f>Informação!I35</f>
        <v>0</v>
      </c>
      <c r="G24">
        <f>Informação!F35</f>
        <v>0</v>
      </c>
      <c r="H24">
        <f>Informação!M35</f>
        <v>0</v>
      </c>
      <c r="I24">
        <f>Informação!L35</f>
        <v>0</v>
      </c>
      <c r="J24">
        <f>Informação!K35</f>
        <v>0</v>
      </c>
      <c r="K24">
        <f>Informação!J35</f>
        <v>0</v>
      </c>
      <c r="L24">
        <f>Informação!N35</f>
        <v>0</v>
      </c>
      <c r="M24" t="str">
        <f t="shared" si="0"/>
        <v>0-0</v>
      </c>
      <c r="N24">
        <f>Informação!O35</f>
        <v>0</v>
      </c>
      <c r="O24">
        <f>Informação!P35</f>
        <v>0</v>
      </c>
      <c r="P24" t="s">
        <v>501</v>
      </c>
      <c r="Q24" t="s">
        <v>501</v>
      </c>
      <c r="R24">
        <f>Informação!$G$5</f>
        <v>0</v>
      </c>
    </row>
    <row r="25" spans="1:18" x14ac:dyDescent="0.25">
      <c r="A25">
        <f>Informação!B36</f>
        <v>-1</v>
      </c>
      <c r="B25" s="29" t="str">
        <f>CONCATENATE(TEXT(YEAR(Informação!G36),"0000"),"-",TEXT(MONTH(Informação!G36),"00"),"-",TEXT(DAY(Informação!G36),"00"))</f>
        <v>1900-01-00</v>
      </c>
      <c r="C25">
        <f>Informação!D36</f>
        <v>0</v>
      </c>
      <c r="D25">
        <f>Informação!E36</f>
        <v>0</v>
      </c>
      <c r="E25" t="e">
        <f>Informação!Q36</f>
        <v>#N/A</v>
      </c>
      <c r="F25" s="26">
        <f>Informação!I36</f>
        <v>0</v>
      </c>
      <c r="G25">
        <f>Informação!F36</f>
        <v>0</v>
      </c>
      <c r="H25">
        <f>Informação!M36</f>
        <v>0</v>
      </c>
      <c r="I25">
        <f>Informação!L36</f>
        <v>0</v>
      </c>
      <c r="J25">
        <f>Informação!K36</f>
        <v>0</v>
      </c>
      <c r="K25">
        <f>Informação!J36</f>
        <v>0</v>
      </c>
      <c r="L25">
        <f>Informação!N36</f>
        <v>0</v>
      </c>
      <c r="M25" t="str">
        <f t="shared" si="0"/>
        <v>0-0</v>
      </c>
      <c r="N25">
        <f>Informação!O36</f>
        <v>0</v>
      </c>
      <c r="O25">
        <f>Informação!P36</f>
        <v>0</v>
      </c>
      <c r="P25" t="s">
        <v>501</v>
      </c>
      <c r="Q25" t="s">
        <v>501</v>
      </c>
      <c r="R25">
        <f>Informação!$G$5</f>
        <v>0</v>
      </c>
    </row>
    <row r="26" spans="1:18" x14ac:dyDescent="0.25">
      <c r="A26">
        <f>Informação!B37</f>
        <v>-1</v>
      </c>
      <c r="B26" s="29" t="str">
        <f>CONCATENATE(TEXT(YEAR(Informação!G37),"0000"),"-",TEXT(MONTH(Informação!G37),"00"),"-",TEXT(DAY(Informação!G37),"00"))</f>
        <v>1900-01-00</v>
      </c>
      <c r="C26">
        <f>Informação!D37</f>
        <v>0</v>
      </c>
      <c r="D26">
        <f>Informação!E37</f>
        <v>0</v>
      </c>
      <c r="E26" t="e">
        <f>Informação!Q37</f>
        <v>#N/A</v>
      </c>
      <c r="F26" s="26">
        <f>Informação!I37</f>
        <v>0</v>
      </c>
      <c r="G26">
        <f>Informação!F37</f>
        <v>0</v>
      </c>
      <c r="H26">
        <f>Informação!M37</f>
        <v>0</v>
      </c>
      <c r="I26">
        <f>Informação!L37</f>
        <v>0</v>
      </c>
      <c r="J26">
        <f>Informação!K37</f>
        <v>0</v>
      </c>
      <c r="K26">
        <f>Informação!J37</f>
        <v>0</v>
      </c>
      <c r="L26">
        <f>Informação!N37</f>
        <v>0</v>
      </c>
      <c r="M26" t="str">
        <f t="shared" si="0"/>
        <v>0-0</v>
      </c>
      <c r="N26">
        <f>Informação!O37</f>
        <v>0</v>
      </c>
      <c r="O26">
        <f>Informação!P37</f>
        <v>0</v>
      </c>
      <c r="P26" t="s">
        <v>501</v>
      </c>
      <c r="Q26" t="s">
        <v>501</v>
      </c>
      <c r="R26">
        <f>Informação!$G$5</f>
        <v>0</v>
      </c>
    </row>
    <row r="27" spans="1:18" x14ac:dyDescent="0.25">
      <c r="A27">
        <f>Informação!B38</f>
        <v>-1</v>
      </c>
      <c r="B27" s="29" t="str">
        <f>CONCATENATE(TEXT(YEAR(Informação!G38),"0000"),"-",TEXT(MONTH(Informação!G38),"00"),"-",TEXT(DAY(Informação!G38),"00"))</f>
        <v>1900-01-00</v>
      </c>
      <c r="C27">
        <f>Informação!D38</f>
        <v>0</v>
      </c>
      <c r="D27">
        <f>Informação!E38</f>
        <v>0</v>
      </c>
      <c r="E27" t="e">
        <f>Informação!Q38</f>
        <v>#N/A</v>
      </c>
      <c r="F27" s="26">
        <f>Informação!I38</f>
        <v>0</v>
      </c>
      <c r="G27">
        <f>Informação!F38</f>
        <v>0</v>
      </c>
      <c r="H27">
        <f>Informação!M38</f>
        <v>0</v>
      </c>
      <c r="I27">
        <f>Informação!L38</f>
        <v>0</v>
      </c>
      <c r="J27">
        <f>Informação!K38</f>
        <v>0</v>
      </c>
      <c r="K27">
        <f>Informação!J38</f>
        <v>0</v>
      </c>
      <c r="L27">
        <f>Informação!N38</f>
        <v>0</v>
      </c>
      <c r="M27" t="str">
        <f t="shared" ref="M27:M90" si="1">CONCATENATE(N27,"-",O27)</f>
        <v>0-0</v>
      </c>
      <c r="N27">
        <f>Informação!O38</f>
        <v>0</v>
      </c>
      <c r="O27">
        <f>Informação!P38</f>
        <v>0</v>
      </c>
      <c r="P27" t="s">
        <v>501</v>
      </c>
      <c r="Q27" t="s">
        <v>501</v>
      </c>
      <c r="R27">
        <f>Informação!$G$5</f>
        <v>0</v>
      </c>
    </row>
    <row r="28" spans="1:18" x14ac:dyDescent="0.25">
      <c r="A28">
        <f>Informação!B39</f>
        <v>-1</v>
      </c>
      <c r="B28" s="29" t="str">
        <f>CONCATENATE(TEXT(YEAR(Informação!G39),"0000"),"-",TEXT(MONTH(Informação!G39),"00"),"-",TEXT(DAY(Informação!G39),"00"))</f>
        <v>1900-01-00</v>
      </c>
      <c r="C28">
        <f>Informação!D39</f>
        <v>0</v>
      </c>
      <c r="D28">
        <f>Informação!E39</f>
        <v>0</v>
      </c>
      <c r="E28" t="e">
        <f>Informação!Q39</f>
        <v>#N/A</v>
      </c>
      <c r="F28" s="26">
        <f>Informação!I39</f>
        <v>0</v>
      </c>
      <c r="G28">
        <f>Informação!F39</f>
        <v>0</v>
      </c>
      <c r="H28">
        <f>Informação!M39</f>
        <v>0</v>
      </c>
      <c r="I28">
        <f>Informação!L39</f>
        <v>0</v>
      </c>
      <c r="J28">
        <f>Informação!K39</f>
        <v>0</v>
      </c>
      <c r="K28">
        <f>Informação!J39</f>
        <v>0</v>
      </c>
      <c r="L28">
        <f>Informação!N39</f>
        <v>0</v>
      </c>
      <c r="M28" t="str">
        <f t="shared" si="1"/>
        <v>0-0</v>
      </c>
      <c r="N28">
        <f>Informação!O39</f>
        <v>0</v>
      </c>
      <c r="O28">
        <f>Informação!P39</f>
        <v>0</v>
      </c>
      <c r="P28" t="s">
        <v>501</v>
      </c>
      <c r="Q28" t="s">
        <v>501</v>
      </c>
      <c r="R28">
        <f>Informação!$G$5</f>
        <v>0</v>
      </c>
    </row>
    <row r="29" spans="1:18" x14ac:dyDescent="0.25">
      <c r="A29">
        <f>Informação!B40</f>
        <v>-1</v>
      </c>
      <c r="B29" s="29" t="str">
        <f>CONCATENATE(TEXT(YEAR(Informação!G40),"0000"),"-",TEXT(MONTH(Informação!G40),"00"),"-",TEXT(DAY(Informação!G40),"00"))</f>
        <v>1900-01-00</v>
      </c>
      <c r="C29">
        <f>Informação!D40</f>
        <v>0</v>
      </c>
      <c r="D29">
        <f>Informação!E40</f>
        <v>0</v>
      </c>
      <c r="E29" t="e">
        <f>Informação!Q40</f>
        <v>#N/A</v>
      </c>
      <c r="F29" s="26">
        <f>Informação!I40</f>
        <v>0</v>
      </c>
      <c r="G29">
        <f>Informação!F40</f>
        <v>0</v>
      </c>
      <c r="H29">
        <f>Informação!M40</f>
        <v>0</v>
      </c>
      <c r="I29">
        <f>Informação!L40</f>
        <v>0</v>
      </c>
      <c r="J29">
        <f>Informação!K40</f>
        <v>0</v>
      </c>
      <c r="K29">
        <f>Informação!J40</f>
        <v>0</v>
      </c>
      <c r="L29">
        <f>Informação!N40</f>
        <v>0</v>
      </c>
      <c r="M29" t="str">
        <f t="shared" si="1"/>
        <v>0-0</v>
      </c>
      <c r="N29">
        <f>Informação!O40</f>
        <v>0</v>
      </c>
      <c r="O29">
        <f>Informação!P40</f>
        <v>0</v>
      </c>
      <c r="P29" t="s">
        <v>501</v>
      </c>
      <c r="Q29" t="s">
        <v>501</v>
      </c>
      <c r="R29">
        <f>Informação!$G$5</f>
        <v>0</v>
      </c>
    </row>
    <row r="30" spans="1:18" x14ac:dyDescent="0.25">
      <c r="A30">
        <f>Informação!B41</f>
        <v>-1</v>
      </c>
      <c r="B30" s="29" t="str">
        <f>CONCATENATE(TEXT(YEAR(Informação!G41),"0000"),"-",TEXT(MONTH(Informação!G41),"00"),"-",TEXT(DAY(Informação!G41),"00"))</f>
        <v>1900-01-00</v>
      </c>
      <c r="C30">
        <f>Informação!D41</f>
        <v>0</v>
      </c>
      <c r="D30">
        <f>Informação!E41</f>
        <v>0</v>
      </c>
      <c r="E30" t="e">
        <f>Informação!Q41</f>
        <v>#N/A</v>
      </c>
      <c r="F30" s="26">
        <f>Informação!I41</f>
        <v>0</v>
      </c>
      <c r="G30">
        <f>Informação!F41</f>
        <v>0</v>
      </c>
      <c r="H30">
        <f>Informação!M41</f>
        <v>0</v>
      </c>
      <c r="I30">
        <f>Informação!L41</f>
        <v>0</v>
      </c>
      <c r="J30">
        <f>Informação!K41</f>
        <v>0</v>
      </c>
      <c r="K30">
        <f>Informação!J41</f>
        <v>0</v>
      </c>
      <c r="L30">
        <f>Informação!N41</f>
        <v>0</v>
      </c>
      <c r="M30" t="str">
        <f t="shared" si="1"/>
        <v>0-0</v>
      </c>
      <c r="N30">
        <f>Informação!O41</f>
        <v>0</v>
      </c>
      <c r="O30">
        <f>Informação!P41</f>
        <v>0</v>
      </c>
      <c r="P30" t="s">
        <v>501</v>
      </c>
      <c r="Q30" t="s">
        <v>501</v>
      </c>
      <c r="R30">
        <f>Informação!$G$5</f>
        <v>0</v>
      </c>
    </row>
    <row r="31" spans="1:18" x14ac:dyDescent="0.25">
      <c r="A31">
        <f>Informação!B42</f>
        <v>-1</v>
      </c>
      <c r="B31" s="29" t="str">
        <f>CONCATENATE(TEXT(YEAR(Informação!G42),"0000"),"-",TEXT(MONTH(Informação!G42),"00"),"-",TEXT(DAY(Informação!G42),"00"))</f>
        <v>1900-01-00</v>
      </c>
      <c r="C31">
        <f>Informação!D42</f>
        <v>0</v>
      </c>
      <c r="D31">
        <f>Informação!E42</f>
        <v>0</v>
      </c>
      <c r="E31" t="e">
        <f>Informação!Q42</f>
        <v>#N/A</v>
      </c>
      <c r="F31" s="26">
        <f>Informação!I42</f>
        <v>0</v>
      </c>
      <c r="G31">
        <f>Informação!F42</f>
        <v>0</v>
      </c>
      <c r="H31">
        <f>Informação!M42</f>
        <v>0</v>
      </c>
      <c r="I31">
        <f>Informação!L42</f>
        <v>0</v>
      </c>
      <c r="J31">
        <f>Informação!K42</f>
        <v>0</v>
      </c>
      <c r="K31">
        <f>Informação!J42</f>
        <v>0</v>
      </c>
      <c r="L31">
        <f>Informação!N42</f>
        <v>0</v>
      </c>
      <c r="M31" t="str">
        <f t="shared" si="1"/>
        <v>0-0</v>
      </c>
      <c r="N31">
        <f>Informação!O42</f>
        <v>0</v>
      </c>
      <c r="O31">
        <f>Informação!P42</f>
        <v>0</v>
      </c>
      <c r="P31" t="s">
        <v>501</v>
      </c>
      <c r="Q31" t="s">
        <v>501</v>
      </c>
      <c r="R31">
        <f>Informação!$G$5</f>
        <v>0</v>
      </c>
    </row>
    <row r="32" spans="1:18" x14ac:dyDescent="0.25">
      <c r="A32">
        <f>Informação!B43</f>
        <v>-1</v>
      </c>
      <c r="B32" s="29" t="str">
        <f>CONCATENATE(TEXT(YEAR(Informação!G43),"0000"),"-",TEXT(MONTH(Informação!G43),"00"),"-",TEXT(DAY(Informação!G43),"00"))</f>
        <v>1900-01-00</v>
      </c>
      <c r="C32">
        <f>Informação!D43</f>
        <v>0</v>
      </c>
      <c r="D32">
        <f>Informação!E43</f>
        <v>0</v>
      </c>
      <c r="E32" t="e">
        <f>Informação!Q43</f>
        <v>#N/A</v>
      </c>
      <c r="F32" s="26">
        <f>Informação!I43</f>
        <v>0</v>
      </c>
      <c r="G32">
        <f>Informação!F43</f>
        <v>0</v>
      </c>
      <c r="H32">
        <f>Informação!M43</f>
        <v>0</v>
      </c>
      <c r="I32">
        <f>Informação!L43</f>
        <v>0</v>
      </c>
      <c r="J32">
        <f>Informação!K43</f>
        <v>0</v>
      </c>
      <c r="K32">
        <f>Informação!J43</f>
        <v>0</v>
      </c>
      <c r="L32">
        <f>Informação!N43</f>
        <v>0</v>
      </c>
      <c r="M32" t="str">
        <f t="shared" si="1"/>
        <v>0-0</v>
      </c>
      <c r="N32">
        <f>Informação!O43</f>
        <v>0</v>
      </c>
      <c r="O32">
        <f>Informação!P43</f>
        <v>0</v>
      </c>
      <c r="P32" t="s">
        <v>501</v>
      </c>
      <c r="Q32" t="s">
        <v>501</v>
      </c>
      <c r="R32">
        <f>Informação!$G$5</f>
        <v>0</v>
      </c>
    </row>
    <row r="33" spans="1:18" x14ac:dyDescent="0.25">
      <c r="A33">
        <f>Informação!B44</f>
        <v>-1</v>
      </c>
      <c r="B33" s="29" t="str">
        <f>CONCATENATE(TEXT(YEAR(Informação!G44),"0000"),"-",TEXT(MONTH(Informação!G44),"00"),"-",TEXT(DAY(Informação!G44),"00"))</f>
        <v>1900-01-00</v>
      </c>
      <c r="C33">
        <f>Informação!D44</f>
        <v>0</v>
      </c>
      <c r="D33">
        <f>Informação!E44</f>
        <v>0</v>
      </c>
      <c r="E33" t="e">
        <f>Informação!Q44</f>
        <v>#N/A</v>
      </c>
      <c r="F33" s="26">
        <f>Informação!I44</f>
        <v>0</v>
      </c>
      <c r="G33">
        <f>Informação!F44</f>
        <v>0</v>
      </c>
      <c r="H33">
        <f>Informação!M44</f>
        <v>0</v>
      </c>
      <c r="I33">
        <f>Informação!L44</f>
        <v>0</v>
      </c>
      <c r="J33">
        <f>Informação!K44</f>
        <v>0</v>
      </c>
      <c r="K33">
        <f>Informação!J44</f>
        <v>0</v>
      </c>
      <c r="L33">
        <f>Informação!N44</f>
        <v>0</v>
      </c>
      <c r="M33" t="str">
        <f t="shared" si="1"/>
        <v>0-0</v>
      </c>
      <c r="N33">
        <f>Informação!O44</f>
        <v>0</v>
      </c>
      <c r="O33">
        <f>Informação!P44</f>
        <v>0</v>
      </c>
      <c r="P33" t="s">
        <v>501</v>
      </c>
      <c r="Q33" t="s">
        <v>501</v>
      </c>
      <c r="R33">
        <f>Informação!$G$5</f>
        <v>0</v>
      </c>
    </row>
    <row r="34" spans="1:18" x14ac:dyDescent="0.25">
      <c r="A34">
        <f>Informação!B45</f>
        <v>-1</v>
      </c>
      <c r="B34" s="29" t="str">
        <f>CONCATENATE(TEXT(YEAR(Informação!G45),"0000"),"-",TEXT(MONTH(Informação!G45),"00"),"-",TEXT(DAY(Informação!G45),"00"))</f>
        <v>1900-01-00</v>
      </c>
      <c r="C34">
        <f>Informação!D45</f>
        <v>0</v>
      </c>
      <c r="D34">
        <f>Informação!E45</f>
        <v>0</v>
      </c>
      <c r="E34" t="e">
        <f>Informação!Q45</f>
        <v>#N/A</v>
      </c>
      <c r="F34" s="26">
        <f>Informação!I45</f>
        <v>0</v>
      </c>
      <c r="G34">
        <f>Informação!F45</f>
        <v>0</v>
      </c>
      <c r="H34">
        <f>Informação!M45</f>
        <v>0</v>
      </c>
      <c r="I34">
        <f>Informação!L45</f>
        <v>0</v>
      </c>
      <c r="J34">
        <f>Informação!K45</f>
        <v>0</v>
      </c>
      <c r="K34">
        <f>Informação!J45</f>
        <v>0</v>
      </c>
      <c r="L34">
        <f>Informação!N45</f>
        <v>0</v>
      </c>
      <c r="M34" t="str">
        <f t="shared" si="1"/>
        <v>0-0</v>
      </c>
      <c r="N34">
        <f>Informação!O45</f>
        <v>0</v>
      </c>
      <c r="O34">
        <f>Informação!P45</f>
        <v>0</v>
      </c>
      <c r="P34" t="s">
        <v>501</v>
      </c>
      <c r="Q34" t="s">
        <v>501</v>
      </c>
      <c r="R34">
        <f>Informação!$G$5</f>
        <v>0</v>
      </c>
    </row>
    <row r="35" spans="1:18" x14ac:dyDescent="0.25">
      <c r="A35">
        <f>Informação!B46</f>
        <v>-1</v>
      </c>
      <c r="B35" s="29" t="str">
        <f>CONCATENATE(TEXT(YEAR(Informação!G46),"0000"),"-",TEXT(MONTH(Informação!G46),"00"),"-",TEXT(DAY(Informação!G46),"00"))</f>
        <v>1900-01-00</v>
      </c>
      <c r="C35">
        <f>Informação!D46</f>
        <v>0</v>
      </c>
      <c r="D35">
        <f>Informação!E46</f>
        <v>0</v>
      </c>
      <c r="E35" t="e">
        <f>Informação!Q46</f>
        <v>#N/A</v>
      </c>
      <c r="F35" s="26">
        <f>Informação!I46</f>
        <v>0</v>
      </c>
      <c r="G35">
        <f>Informação!F46</f>
        <v>0</v>
      </c>
      <c r="H35">
        <f>Informação!M46</f>
        <v>0</v>
      </c>
      <c r="I35">
        <f>Informação!L46</f>
        <v>0</v>
      </c>
      <c r="J35">
        <f>Informação!K46</f>
        <v>0</v>
      </c>
      <c r="K35">
        <f>Informação!J46</f>
        <v>0</v>
      </c>
      <c r="L35">
        <f>Informação!N46</f>
        <v>0</v>
      </c>
      <c r="M35" t="str">
        <f t="shared" si="1"/>
        <v>0-0</v>
      </c>
      <c r="N35">
        <f>Informação!O46</f>
        <v>0</v>
      </c>
      <c r="O35">
        <f>Informação!P46</f>
        <v>0</v>
      </c>
      <c r="P35" t="s">
        <v>501</v>
      </c>
      <c r="Q35" t="s">
        <v>501</v>
      </c>
      <c r="R35">
        <f>Informação!$G$5</f>
        <v>0</v>
      </c>
    </row>
    <row r="36" spans="1:18" x14ac:dyDescent="0.25">
      <c r="A36">
        <f>Informação!B47</f>
        <v>-1</v>
      </c>
      <c r="B36" s="29" t="str">
        <f>CONCATENATE(TEXT(YEAR(Informação!G47),"0000"),"-",TEXT(MONTH(Informação!G47),"00"),"-",TEXT(DAY(Informação!G47),"00"))</f>
        <v>1900-01-00</v>
      </c>
      <c r="C36">
        <f>Informação!D47</f>
        <v>0</v>
      </c>
      <c r="D36">
        <f>Informação!E47</f>
        <v>0</v>
      </c>
      <c r="E36" t="e">
        <f>Informação!Q47</f>
        <v>#N/A</v>
      </c>
      <c r="F36" s="26">
        <f>Informação!I47</f>
        <v>0</v>
      </c>
      <c r="G36">
        <f>Informação!F47</f>
        <v>0</v>
      </c>
      <c r="H36">
        <f>Informação!M47</f>
        <v>0</v>
      </c>
      <c r="I36">
        <f>Informação!L47</f>
        <v>0</v>
      </c>
      <c r="J36">
        <f>Informação!K47</f>
        <v>0</v>
      </c>
      <c r="K36">
        <f>Informação!J47</f>
        <v>0</v>
      </c>
      <c r="L36">
        <f>Informação!N47</f>
        <v>0</v>
      </c>
      <c r="M36" t="str">
        <f t="shared" si="1"/>
        <v>0-0</v>
      </c>
      <c r="N36">
        <f>Informação!O47</f>
        <v>0</v>
      </c>
      <c r="O36">
        <f>Informação!P47</f>
        <v>0</v>
      </c>
      <c r="P36" t="s">
        <v>501</v>
      </c>
      <c r="Q36" t="s">
        <v>501</v>
      </c>
      <c r="R36">
        <f>Informação!$G$5</f>
        <v>0</v>
      </c>
    </row>
    <row r="37" spans="1:18" x14ac:dyDescent="0.25">
      <c r="A37">
        <f>Informação!B48</f>
        <v>-1</v>
      </c>
      <c r="B37" s="29" t="str">
        <f>CONCATENATE(TEXT(YEAR(Informação!G48),"0000"),"-",TEXT(MONTH(Informação!G48),"00"),"-",TEXT(DAY(Informação!G48),"00"))</f>
        <v>1900-01-00</v>
      </c>
      <c r="C37">
        <f>Informação!D48</f>
        <v>0</v>
      </c>
      <c r="D37">
        <f>Informação!E48</f>
        <v>0</v>
      </c>
      <c r="E37" t="e">
        <f>Informação!Q48</f>
        <v>#N/A</v>
      </c>
      <c r="F37" s="26">
        <f>Informação!I48</f>
        <v>0</v>
      </c>
      <c r="G37">
        <f>Informação!F48</f>
        <v>0</v>
      </c>
      <c r="H37">
        <f>Informação!M48</f>
        <v>0</v>
      </c>
      <c r="I37">
        <f>Informação!L48</f>
        <v>0</v>
      </c>
      <c r="J37">
        <f>Informação!K48</f>
        <v>0</v>
      </c>
      <c r="K37">
        <f>Informação!J48</f>
        <v>0</v>
      </c>
      <c r="L37">
        <f>Informação!N48</f>
        <v>0</v>
      </c>
      <c r="M37" t="str">
        <f t="shared" si="1"/>
        <v>0-0</v>
      </c>
      <c r="N37">
        <f>Informação!O48</f>
        <v>0</v>
      </c>
      <c r="O37">
        <f>Informação!P48</f>
        <v>0</v>
      </c>
      <c r="P37" t="s">
        <v>501</v>
      </c>
      <c r="Q37" t="s">
        <v>501</v>
      </c>
      <c r="R37">
        <f>Informação!$G$5</f>
        <v>0</v>
      </c>
    </row>
    <row r="38" spans="1:18" x14ac:dyDescent="0.25">
      <c r="A38">
        <f>Informação!B49</f>
        <v>-1</v>
      </c>
      <c r="B38" s="29" t="str">
        <f>CONCATENATE(TEXT(YEAR(Informação!G49),"0000"),"-",TEXT(MONTH(Informação!G49),"00"),"-",TEXT(DAY(Informação!G49),"00"))</f>
        <v>1900-01-00</v>
      </c>
      <c r="C38">
        <f>Informação!D49</f>
        <v>0</v>
      </c>
      <c r="D38">
        <f>Informação!E49</f>
        <v>0</v>
      </c>
      <c r="E38" t="e">
        <f>Informação!Q49</f>
        <v>#N/A</v>
      </c>
      <c r="F38" s="26">
        <f>Informação!I49</f>
        <v>0</v>
      </c>
      <c r="G38">
        <f>Informação!F49</f>
        <v>0</v>
      </c>
      <c r="H38">
        <f>Informação!M49</f>
        <v>0</v>
      </c>
      <c r="I38">
        <f>Informação!L49</f>
        <v>0</v>
      </c>
      <c r="J38">
        <f>Informação!K49</f>
        <v>0</v>
      </c>
      <c r="K38">
        <f>Informação!J49</f>
        <v>0</v>
      </c>
      <c r="L38">
        <f>Informação!N49</f>
        <v>0</v>
      </c>
      <c r="M38" t="str">
        <f t="shared" si="1"/>
        <v>0-0</v>
      </c>
      <c r="N38">
        <f>Informação!O49</f>
        <v>0</v>
      </c>
      <c r="O38">
        <f>Informação!P49</f>
        <v>0</v>
      </c>
      <c r="P38" t="s">
        <v>501</v>
      </c>
      <c r="Q38" t="s">
        <v>501</v>
      </c>
      <c r="R38">
        <f>Informação!$G$5</f>
        <v>0</v>
      </c>
    </row>
    <row r="39" spans="1:18" x14ac:dyDescent="0.25">
      <c r="A39">
        <f>Informação!B50</f>
        <v>-1</v>
      </c>
      <c r="B39" s="29" t="str">
        <f>CONCATENATE(TEXT(YEAR(Informação!G50),"0000"),"-",TEXT(MONTH(Informação!G50),"00"),"-",TEXT(DAY(Informação!G50),"00"))</f>
        <v>1900-01-00</v>
      </c>
      <c r="C39">
        <f>Informação!D50</f>
        <v>0</v>
      </c>
      <c r="D39">
        <f>Informação!E50</f>
        <v>0</v>
      </c>
      <c r="E39" t="e">
        <f>Informação!Q50</f>
        <v>#N/A</v>
      </c>
      <c r="F39" s="26">
        <f>Informação!I50</f>
        <v>0</v>
      </c>
      <c r="G39">
        <f>Informação!F50</f>
        <v>0</v>
      </c>
      <c r="H39">
        <f>Informação!M50</f>
        <v>0</v>
      </c>
      <c r="I39">
        <f>Informação!L50</f>
        <v>0</v>
      </c>
      <c r="J39">
        <f>Informação!K50</f>
        <v>0</v>
      </c>
      <c r="K39">
        <f>Informação!J50</f>
        <v>0</v>
      </c>
      <c r="L39">
        <f>Informação!N50</f>
        <v>0</v>
      </c>
      <c r="M39" t="str">
        <f t="shared" si="1"/>
        <v>0-0</v>
      </c>
      <c r="N39">
        <f>Informação!O50</f>
        <v>0</v>
      </c>
      <c r="O39">
        <f>Informação!P50</f>
        <v>0</v>
      </c>
      <c r="P39" t="s">
        <v>501</v>
      </c>
      <c r="Q39" t="s">
        <v>501</v>
      </c>
      <c r="R39">
        <f>Informação!$G$5</f>
        <v>0</v>
      </c>
    </row>
    <row r="40" spans="1:18" x14ac:dyDescent="0.25">
      <c r="A40">
        <f>Informação!B51</f>
        <v>-1</v>
      </c>
      <c r="B40" s="29" t="str">
        <f>CONCATENATE(TEXT(YEAR(Informação!G51),"0000"),"-",TEXT(MONTH(Informação!G51),"00"),"-",TEXT(DAY(Informação!G51),"00"))</f>
        <v>1900-01-00</v>
      </c>
      <c r="C40">
        <f>Informação!D51</f>
        <v>0</v>
      </c>
      <c r="D40">
        <f>Informação!E51</f>
        <v>0</v>
      </c>
      <c r="E40" t="e">
        <f>Informação!Q51</f>
        <v>#N/A</v>
      </c>
      <c r="F40" s="26">
        <f>Informação!I51</f>
        <v>0</v>
      </c>
      <c r="G40">
        <f>Informação!F51</f>
        <v>0</v>
      </c>
      <c r="H40">
        <f>Informação!M51</f>
        <v>0</v>
      </c>
      <c r="I40">
        <f>Informação!L51</f>
        <v>0</v>
      </c>
      <c r="J40">
        <f>Informação!K51</f>
        <v>0</v>
      </c>
      <c r="K40">
        <f>Informação!J51</f>
        <v>0</v>
      </c>
      <c r="L40">
        <f>Informação!N51</f>
        <v>0</v>
      </c>
      <c r="M40" t="str">
        <f t="shared" si="1"/>
        <v>0-0</v>
      </c>
      <c r="N40">
        <f>Informação!O51</f>
        <v>0</v>
      </c>
      <c r="O40">
        <f>Informação!P51</f>
        <v>0</v>
      </c>
      <c r="P40" t="s">
        <v>501</v>
      </c>
      <c r="Q40" t="s">
        <v>501</v>
      </c>
      <c r="R40">
        <f>Informação!$G$5</f>
        <v>0</v>
      </c>
    </row>
    <row r="41" spans="1:18" x14ac:dyDescent="0.25">
      <c r="A41">
        <f>Informação!B52</f>
        <v>-1</v>
      </c>
      <c r="B41" s="29" t="str">
        <f>CONCATENATE(TEXT(YEAR(Informação!G52),"0000"),"-",TEXT(MONTH(Informação!G52),"00"),"-",TEXT(DAY(Informação!G52),"00"))</f>
        <v>1900-01-00</v>
      </c>
      <c r="C41">
        <f>Informação!D52</f>
        <v>0</v>
      </c>
      <c r="D41">
        <f>Informação!E52</f>
        <v>0</v>
      </c>
      <c r="E41" t="e">
        <f>Informação!Q52</f>
        <v>#N/A</v>
      </c>
      <c r="F41" s="26">
        <f>Informação!I52</f>
        <v>0</v>
      </c>
      <c r="G41">
        <f>Informação!F52</f>
        <v>0</v>
      </c>
      <c r="H41">
        <f>Informação!M52</f>
        <v>0</v>
      </c>
      <c r="I41">
        <f>Informação!L52</f>
        <v>0</v>
      </c>
      <c r="J41">
        <f>Informação!K52</f>
        <v>0</v>
      </c>
      <c r="K41">
        <f>Informação!J52</f>
        <v>0</v>
      </c>
      <c r="L41">
        <f>Informação!N52</f>
        <v>0</v>
      </c>
      <c r="M41" t="str">
        <f t="shared" si="1"/>
        <v>0-0</v>
      </c>
      <c r="N41">
        <f>Informação!O52</f>
        <v>0</v>
      </c>
      <c r="O41">
        <f>Informação!P52</f>
        <v>0</v>
      </c>
      <c r="P41" t="s">
        <v>501</v>
      </c>
      <c r="Q41" t="s">
        <v>501</v>
      </c>
      <c r="R41">
        <f>Informação!$G$5</f>
        <v>0</v>
      </c>
    </row>
    <row r="42" spans="1:18" x14ac:dyDescent="0.25">
      <c r="A42">
        <f>Informação!B53</f>
        <v>-1</v>
      </c>
      <c r="B42" s="29" t="str">
        <f>CONCATENATE(TEXT(YEAR(Informação!G53),"0000"),"-",TEXT(MONTH(Informação!G53),"00"),"-",TEXT(DAY(Informação!G53),"00"))</f>
        <v>1900-01-00</v>
      </c>
      <c r="C42">
        <f>Informação!D53</f>
        <v>0</v>
      </c>
      <c r="D42">
        <f>Informação!E53</f>
        <v>0</v>
      </c>
      <c r="E42" t="e">
        <f>Informação!Q53</f>
        <v>#N/A</v>
      </c>
      <c r="F42" s="26">
        <f>Informação!I53</f>
        <v>0</v>
      </c>
      <c r="G42">
        <f>Informação!F53</f>
        <v>0</v>
      </c>
      <c r="H42">
        <f>Informação!M53</f>
        <v>0</v>
      </c>
      <c r="I42">
        <f>Informação!L53</f>
        <v>0</v>
      </c>
      <c r="J42">
        <f>Informação!K53</f>
        <v>0</v>
      </c>
      <c r="K42">
        <f>Informação!J53</f>
        <v>0</v>
      </c>
      <c r="L42">
        <f>Informação!N53</f>
        <v>0</v>
      </c>
      <c r="M42" t="str">
        <f t="shared" si="1"/>
        <v>0-0</v>
      </c>
      <c r="N42">
        <f>Informação!O53</f>
        <v>0</v>
      </c>
      <c r="O42">
        <f>Informação!P53</f>
        <v>0</v>
      </c>
      <c r="P42" t="s">
        <v>501</v>
      </c>
      <c r="Q42" t="s">
        <v>501</v>
      </c>
      <c r="R42">
        <f>Informação!$G$5</f>
        <v>0</v>
      </c>
    </row>
    <row r="43" spans="1:18" x14ac:dyDescent="0.25">
      <c r="A43">
        <f>Informação!B54</f>
        <v>-1</v>
      </c>
      <c r="B43" s="29" t="str">
        <f>CONCATENATE(TEXT(YEAR(Informação!G54),"0000"),"-",TEXT(MONTH(Informação!G54),"00"),"-",TEXT(DAY(Informação!G54),"00"))</f>
        <v>1900-01-00</v>
      </c>
      <c r="C43">
        <f>Informação!D54</f>
        <v>0</v>
      </c>
      <c r="D43">
        <f>Informação!E54</f>
        <v>0</v>
      </c>
      <c r="E43" t="e">
        <f>Informação!Q54</f>
        <v>#N/A</v>
      </c>
      <c r="F43" s="26">
        <f>Informação!I54</f>
        <v>0</v>
      </c>
      <c r="G43">
        <f>Informação!F54</f>
        <v>0</v>
      </c>
      <c r="H43">
        <f>Informação!M54</f>
        <v>0</v>
      </c>
      <c r="I43">
        <f>Informação!L54</f>
        <v>0</v>
      </c>
      <c r="J43">
        <f>Informação!K54</f>
        <v>0</v>
      </c>
      <c r="K43">
        <f>Informação!J54</f>
        <v>0</v>
      </c>
      <c r="L43">
        <f>Informação!N54</f>
        <v>0</v>
      </c>
      <c r="M43" t="str">
        <f t="shared" si="1"/>
        <v>0-0</v>
      </c>
      <c r="N43">
        <f>Informação!O54</f>
        <v>0</v>
      </c>
      <c r="O43">
        <f>Informação!P54</f>
        <v>0</v>
      </c>
      <c r="P43" t="s">
        <v>501</v>
      </c>
      <c r="Q43" t="s">
        <v>501</v>
      </c>
      <c r="R43">
        <f>Informação!$G$5</f>
        <v>0</v>
      </c>
    </row>
    <row r="44" spans="1:18" x14ac:dyDescent="0.25">
      <c r="A44">
        <f>Informação!B55</f>
        <v>-1</v>
      </c>
      <c r="B44" s="29" t="str">
        <f>CONCATENATE(TEXT(YEAR(Informação!G55),"0000"),"-",TEXT(MONTH(Informação!G55),"00"),"-",TEXT(DAY(Informação!G55),"00"))</f>
        <v>1900-01-00</v>
      </c>
      <c r="C44">
        <f>Informação!D55</f>
        <v>0</v>
      </c>
      <c r="D44">
        <f>Informação!E55</f>
        <v>0</v>
      </c>
      <c r="E44" t="e">
        <f>Informação!Q55</f>
        <v>#N/A</v>
      </c>
      <c r="F44" s="26">
        <f>Informação!I55</f>
        <v>0</v>
      </c>
      <c r="G44">
        <f>Informação!F55</f>
        <v>0</v>
      </c>
      <c r="H44">
        <f>Informação!M55</f>
        <v>0</v>
      </c>
      <c r="I44">
        <f>Informação!L55</f>
        <v>0</v>
      </c>
      <c r="J44">
        <f>Informação!K55</f>
        <v>0</v>
      </c>
      <c r="K44">
        <f>Informação!J55</f>
        <v>0</v>
      </c>
      <c r="L44">
        <f>Informação!N55</f>
        <v>0</v>
      </c>
      <c r="M44" t="str">
        <f t="shared" si="1"/>
        <v>0-0</v>
      </c>
      <c r="N44">
        <f>Informação!O55</f>
        <v>0</v>
      </c>
      <c r="O44">
        <f>Informação!P55</f>
        <v>0</v>
      </c>
      <c r="P44" t="s">
        <v>501</v>
      </c>
      <c r="Q44" t="s">
        <v>501</v>
      </c>
      <c r="R44">
        <f>Informação!$G$5</f>
        <v>0</v>
      </c>
    </row>
    <row r="45" spans="1:18" x14ac:dyDescent="0.25">
      <c r="A45">
        <f>Informação!B56</f>
        <v>-1</v>
      </c>
      <c r="B45" s="29" t="str">
        <f>CONCATENATE(TEXT(YEAR(Informação!G56),"0000"),"-",TEXT(MONTH(Informação!G56),"00"),"-",TEXT(DAY(Informação!G56),"00"))</f>
        <v>1900-01-00</v>
      </c>
      <c r="C45">
        <f>Informação!D56</f>
        <v>0</v>
      </c>
      <c r="D45">
        <f>Informação!E56</f>
        <v>0</v>
      </c>
      <c r="E45" t="e">
        <f>Informação!Q56</f>
        <v>#N/A</v>
      </c>
      <c r="F45" s="26">
        <f>Informação!I56</f>
        <v>0</v>
      </c>
      <c r="G45">
        <f>Informação!F56</f>
        <v>0</v>
      </c>
      <c r="H45">
        <f>Informação!M56</f>
        <v>0</v>
      </c>
      <c r="I45">
        <f>Informação!L56</f>
        <v>0</v>
      </c>
      <c r="J45">
        <f>Informação!K56</f>
        <v>0</v>
      </c>
      <c r="K45">
        <f>Informação!J56</f>
        <v>0</v>
      </c>
      <c r="L45">
        <f>Informação!N56</f>
        <v>0</v>
      </c>
      <c r="M45" t="str">
        <f t="shared" si="1"/>
        <v>0-0</v>
      </c>
      <c r="N45">
        <f>Informação!O56</f>
        <v>0</v>
      </c>
      <c r="O45">
        <f>Informação!P56</f>
        <v>0</v>
      </c>
      <c r="P45" t="s">
        <v>501</v>
      </c>
      <c r="Q45" t="s">
        <v>501</v>
      </c>
      <c r="R45">
        <f>Informação!$G$5</f>
        <v>0</v>
      </c>
    </row>
    <row r="46" spans="1:18" x14ac:dyDescent="0.25">
      <c r="A46">
        <f>Informação!B57</f>
        <v>-1</v>
      </c>
      <c r="B46" s="29" t="str">
        <f>CONCATENATE(TEXT(YEAR(Informação!G57),"0000"),"-",TEXT(MONTH(Informação!G57),"00"),"-",TEXT(DAY(Informação!G57),"00"))</f>
        <v>1900-01-00</v>
      </c>
      <c r="C46">
        <f>Informação!D57</f>
        <v>0</v>
      </c>
      <c r="D46">
        <f>Informação!E57</f>
        <v>0</v>
      </c>
      <c r="E46" t="e">
        <f>Informação!Q57</f>
        <v>#N/A</v>
      </c>
      <c r="F46" s="26">
        <f>Informação!I57</f>
        <v>0</v>
      </c>
      <c r="G46">
        <f>Informação!F57</f>
        <v>0</v>
      </c>
      <c r="H46">
        <f>Informação!M57</f>
        <v>0</v>
      </c>
      <c r="I46">
        <f>Informação!L57</f>
        <v>0</v>
      </c>
      <c r="J46">
        <f>Informação!K57</f>
        <v>0</v>
      </c>
      <c r="K46">
        <f>Informação!J57</f>
        <v>0</v>
      </c>
      <c r="L46">
        <f>Informação!N57</f>
        <v>0</v>
      </c>
      <c r="M46" t="str">
        <f t="shared" si="1"/>
        <v>0-0</v>
      </c>
      <c r="N46">
        <f>Informação!O57</f>
        <v>0</v>
      </c>
      <c r="O46">
        <f>Informação!P57</f>
        <v>0</v>
      </c>
      <c r="P46" t="s">
        <v>501</v>
      </c>
      <c r="Q46" t="s">
        <v>501</v>
      </c>
      <c r="R46">
        <f>Informação!$G$5</f>
        <v>0</v>
      </c>
    </row>
    <row r="47" spans="1:18" x14ac:dyDescent="0.25">
      <c r="A47">
        <f>Informação!B58</f>
        <v>-1</v>
      </c>
      <c r="B47" s="29" t="str">
        <f>CONCATENATE(TEXT(YEAR(Informação!G58),"0000"),"-",TEXT(MONTH(Informação!G58),"00"),"-",TEXT(DAY(Informação!G58),"00"))</f>
        <v>1900-01-00</v>
      </c>
      <c r="C47">
        <f>Informação!D58</f>
        <v>0</v>
      </c>
      <c r="D47">
        <f>Informação!E58</f>
        <v>0</v>
      </c>
      <c r="E47" t="e">
        <f>Informação!Q58</f>
        <v>#N/A</v>
      </c>
      <c r="F47" s="26">
        <f>Informação!I58</f>
        <v>0</v>
      </c>
      <c r="G47">
        <f>Informação!F58</f>
        <v>0</v>
      </c>
      <c r="H47">
        <f>Informação!M58</f>
        <v>0</v>
      </c>
      <c r="I47">
        <f>Informação!L58</f>
        <v>0</v>
      </c>
      <c r="J47">
        <f>Informação!K58</f>
        <v>0</v>
      </c>
      <c r="K47">
        <f>Informação!J58</f>
        <v>0</v>
      </c>
      <c r="L47">
        <f>Informação!N58</f>
        <v>0</v>
      </c>
      <c r="M47" t="str">
        <f t="shared" si="1"/>
        <v>0-0</v>
      </c>
      <c r="N47">
        <f>Informação!O58</f>
        <v>0</v>
      </c>
      <c r="O47">
        <f>Informação!P58</f>
        <v>0</v>
      </c>
      <c r="P47" t="s">
        <v>501</v>
      </c>
      <c r="Q47" t="s">
        <v>501</v>
      </c>
      <c r="R47">
        <f>Informação!$G$5</f>
        <v>0</v>
      </c>
    </row>
    <row r="48" spans="1:18" x14ac:dyDescent="0.25">
      <c r="A48">
        <f>Informação!B59</f>
        <v>-1</v>
      </c>
      <c r="B48" s="29" t="str">
        <f>CONCATENATE(TEXT(YEAR(Informação!G59),"0000"),"-",TEXT(MONTH(Informação!G59),"00"),"-",TEXT(DAY(Informação!G59),"00"))</f>
        <v>1900-01-00</v>
      </c>
      <c r="C48">
        <f>Informação!D59</f>
        <v>0</v>
      </c>
      <c r="D48">
        <f>Informação!E59</f>
        <v>0</v>
      </c>
      <c r="E48" t="e">
        <f>Informação!Q59</f>
        <v>#N/A</v>
      </c>
      <c r="F48" s="26">
        <f>Informação!I59</f>
        <v>0</v>
      </c>
      <c r="G48">
        <f>Informação!F59</f>
        <v>0</v>
      </c>
      <c r="H48">
        <f>Informação!M59</f>
        <v>0</v>
      </c>
      <c r="I48">
        <f>Informação!L59</f>
        <v>0</v>
      </c>
      <c r="J48">
        <f>Informação!K59</f>
        <v>0</v>
      </c>
      <c r="K48">
        <f>Informação!J59</f>
        <v>0</v>
      </c>
      <c r="L48">
        <f>Informação!N59</f>
        <v>0</v>
      </c>
      <c r="M48" t="str">
        <f t="shared" si="1"/>
        <v>0-0</v>
      </c>
      <c r="N48">
        <f>Informação!O59</f>
        <v>0</v>
      </c>
      <c r="O48">
        <f>Informação!P59</f>
        <v>0</v>
      </c>
      <c r="P48" t="s">
        <v>501</v>
      </c>
      <c r="Q48" t="s">
        <v>501</v>
      </c>
      <c r="R48">
        <f>Informação!$G$5</f>
        <v>0</v>
      </c>
    </row>
    <row r="49" spans="1:18" x14ac:dyDescent="0.25">
      <c r="A49">
        <f>Informação!B60</f>
        <v>-1</v>
      </c>
      <c r="B49" s="29" t="str">
        <f>CONCATENATE(TEXT(YEAR(Informação!G60),"0000"),"-",TEXT(MONTH(Informação!G60),"00"),"-",TEXT(DAY(Informação!G60),"00"))</f>
        <v>1900-01-00</v>
      </c>
      <c r="C49">
        <f>Informação!D60</f>
        <v>0</v>
      </c>
      <c r="D49">
        <f>Informação!E60</f>
        <v>0</v>
      </c>
      <c r="E49" t="e">
        <f>Informação!Q60</f>
        <v>#N/A</v>
      </c>
      <c r="F49" s="26">
        <f>Informação!I60</f>
        <v>0</v>
      </c>
      <c r="G49">
        <f>Informação!F60</f>
        <v>0</v>
      </c>
      <c r="H49">
        <f>Informação!M60</f>
        <v>0</v>
      </c>
      <c r="I49">
        <f>Informação!L60</f>
        <v>0</v>
      </c>
      <c r="J49">
        <f>Informação!K60</f>
        <v>0</v>
      </c>
      <c r="K49">
        <f>Informação!J60</f>
        <v>0</v>
      </c>
      <c r="L49">
        <f>Informação!N60</f>
        <v>0</v>
      </c>
      <c r="M49" t="str">
        <f t="shared" si="1"/>
        <v>0-0</v>
      </c>
      <c r="N49">
        <f>Informação!O60</f>
        <v>0</v>
      </c>
      <c r="O49">
        <f>Informação!P60</f>
        <v>0</v>
      </c>
      <c r="P49" t="s">
        <v>501</v>
      </c>
      <c r="Q49" t="s">
        <v>501</v>
      </c>
      <c r="R49">
        <f>Informação!$G$5</f>
        <v>0</v>
      </c>
    </row>
    <row r="50" spans="1:18" x14ac:dyDescent="0.25">
      <c r="A50">
        <f>Informação!B61</f>
        <v>-1</v>
      </c>
      <c r="B50" s="29" t="str">
        <f>CONCATENATE(TEXT(YEAR(Informação!G61),"0000"),"-",TEXT(MONTH(Informação!G61),"00"),"-",TEXT(DAY(Informação!G61),"00"))</f>
        <v>1900-01-00</v>
      </c>
      <c r="C50">
        <f>Informação!D61</f>
        <v>0</v>
      </c>
      <c r="D50">
        <f>Informação!E61</f>
        <v>0</v>
      </c>
      <c r="E50" t="e">
        <f>Informação!Q61</f>
        <v>#N/A</v>
      </c>
      <c r="F50" s="26">
        <f>Informação!I61</f>
        <v>0</v>
      </c>
      <c r="G50">
        <f>Informação!F61</f>
        <v>0</v>
      </c>
      <c r="H50">
        <f>Informação!M61</f>
        <v>0</v>
      </c>
      <c r="I50">
        <f>Informação!L61</f>
        <v>0</v>
      </c>
      <c r="J50">
        <f>Informação!K61</f>
        <v>0</v>
      </c>
      <c r="K50">
        <f>Informação!J61</f>
        <v>0</v>
      </c>
      <c r="L50">
        <f>Informação!N61</f>
        <v>0</v>
      </c>
      <c r="M50" t="str">
        <f t="shared" si="1"/>
        <v>0-0</v>
      </c>
      <c r="N50">
        <f>Informação!O61</f>
        <v>0</v>
      </c>
      <c r="O50">
        <f>Informação!P61</f>
        <v>0</v>
      </c>
      <c r="P50" t="s">
        <v>501</v>
      </c>
      <c r="Q50" t="s">
        <v>501</v>
      </c>
      <c r="R50">
        <f>Informação!$G$5</f>
        <v>0</v>
      </c>
    </row>
    <row r="51" spans="1:18" x14ac:dyDescent="0.25">
      <c r="A51">
        <f>Informação!B62</f>
        <v>-1</v>
      </c>
      <c r="B51" s="29" t="str">
        <f>CONCATENATE(TEXT(YEAR(Informação!G62),"0000"),"-",TEXT(MONTH(Informação!G62),"00"),"-",TEXT(DAY(Informação!G62),"00"))</f>
        <v>1900-01-00</v>
      </c>
      <c r="C51">
        <f>Informação!D62</f>
        <v>0</v>
      </c>
      <c r="D51">
        <f>Informação!E62</f>
        <v>0</v>
      </c>
      <c r="E51" t="e">
        <f>Informação!Q62</f>
        <v>#N/A</v>
      </c>
      <c r="F51" s="26">
        <f>Informação!I62</f>
        <v>0</v>
      </c>
      <c r="G51">
        <f>Informação!F62</f>
        <v>0</v>
      </c>
      <c r="H51">
        <f>Informação!M62</f>
        <v>0</v>
      </c>
      <c r="I51">
        <f>Informação!L62</f>
        <v>0</v>
      </c>
      <c r="J51">
        <f>Informação!K62</f>
        <v>0</v>
      </c>
      <c r="K51">
        <f>Informação!J62</f>
        <v>0</v>
      </c>
      <c r="L51">
        <f>Informação!N62</f>
        <v>0</v>
      </c>
      <c r="M51" t="str">
        <f t="shared" si="1"/>
        <v>0-0</v>
      </c>
      <c r="N51">
        <f>Informação!O62</f>
        <v>0</v>
      </c>
      <c r="O51">
        <f>Informação!P62</f>
        <v>0</v>
      </c>
      <c r="P51" t="s">
        <v>501</v>
      </c>
      <c r="Q51" t="s">
        <v>501</v>
      </c>
      <c r="R51">
        <f>Informação!$G$5</f>
        <v>0</v>
      </c>
    </row>
    <row r="52" spans="1:18" x14ac:dyDescent="0.25">
      <c r="A52">
        <f>Informação!B63</f>
        <v>-1</v>
      </c>
      <c r="B52" s="29" t="str">
        <f>CONCATENATE(TEXT(YEAR(Informação!G63),"0000"),"-",TEXT(MONTH(Informação!G63),"00"),"-",TEXT(DAY(Informação!G63),"00"))</f>
        <v>1900-01-00</v>
      </c>
      <c r="C52">
        <f>Informação!D63</f>
        <v>0</v>
      </c>
      <c r="D52">
        <f>Informação!E63</f>
        <v>0</v>
      </c>
      <c r="E52" t="e">
        <f>Informação!Q63</f>
        <v>#N/A</v>
      </c>
      <c r="F52" s="26">
        <f>Informação!I63</f>
        <v>0</v>
      </c>
      <c r="G52">
        <f>Informação!F63</f>
        <v>0</v>
      </c>
      <c r="H52">
        <f>Informação!M63</f>
        <v>0</v>
      </c>
      <c r="I52">
        <f>Informação!L63</f>
        <v>0</v>
      </c>
      <c r="J52">
        <f>Informação!K63</f>
        <v>0</v>
      </c>
      <c r="K52">
        <f>Informação!J63</f>
        <v>0</v>
      </c>
      <c r="L52">
        <f>Informação!N63</f>
        <v>0</v>
      </c>
      <c r="M52" t="str">
        <f t="shared" si="1"/>
        <v>0-0</v>
      </c>
      <c r="N52">
        <f>Informação!O63</f>
        <v>0</v>
      </c>
      <c r="O52">
        <f>Informação!P63</f>
        <v>0</v>
      </c>
      <c r="P52" t="s">
        <v>501</v>
      </c>
      <c r="Q52" t="s">
        <v>501</v>
      </c>
      <c r="R52">
        <f>Informação!$G$5</f>
        <v>0</v>
      </c>
    </row>
    <row r="53" spans="1:18" x14ac:dyDescent="0.25">
      <c r="A53">
        <f>Informação!B64</f>
        <v>-1</v>
      </c>
      <c r="B53" s="29" t="str">
        <f>CONCATENATE(TEXT(YEAR(Informação!G64),"0000"),"-",TEXT(MONTH(Informação!G64),"00"),"-",TEXT(DAY(Informação!G64),"00"))</f>
        <v>1900-01-00</v>
      </c>
      <c r="C53">
        <f>Informação!D64</f>
        <v>0</v>
      </c>
      <c r="D53">
        <f>Informação!E64</f>
        <v>0</v>
      </c>
      <c r="E53" t="e">
        <f>Informação!Q64</f>
        <v>#N/A</v>
      </c>
      <c r="F53" s="26">
        <f>Informação!I64</f>
        <v>0</v>
      </c>
      <c r="G53">
        <f>Informação!F64</f>
        <v>0</v>
      </c>
      <c r="H53">
        <f>Informação!M64</f>
        <v>0</v>
      </c>
      <c r="I53">
        <f>Informação!L64</f>
        <v>0</v>
      </c>
      <c r="J53">
        <f>Informação!K64</f>
        <v>0</v>
      </c>
      <c r="K53">
        <f>Informação!J64</f>
        <v>0</v>
      </c>
      <c r="L53">
        <f>Informação!N64</f>
        <v>0</v>
      </c>
      <c r="M53" t="str">
        <f t="shared" si="1"/>
        <v>0-0</v>
      </c>
      <c r="N53">
        <f>Informação!O64</f>
        <v>0</v>
      </c>
      <c r="O53">
        <f>Informação!P64</f>
        <v>0</v>
      </c>
      <c r="P53" t="s">
        <v>501</v>
      </c>
      <c r="Q53" t="s">
        <v>501</v>
      </c>
      <c r="R53">
        <f>Informação!$G$5</f>
        <v>0</v>
      </c>
    </row>
    <row r="54" spans="1:18" x14ac:dyDescent="0.25">
      <c r="A54">
        <f>Informação!B65</f>
        <v>-1</v>
      </c>
      <c r="B54" s="29" t="str">
        <f>CONCATENATE(TEXT(YEAR(Informação!G65),"0000"),"-",TEXT(MONTH(Informação!G65),"00"),"-",TEXT(DAY(Informação!G65),"00"))</f>
        <v>1900-01-00</v>
      </c>
      <c r="C54">
        <f>Informação!D65</f>
        <v>0</v>
      </c>
      <c r="D54">
        <f>Informação!E65</f>
        <v>0</v>
      </c>
      <c r="E54" t="e">
        <f>Informação!Q65</f>
        <v>#N/A</v>
      </c>
      <c r="F54" s="26">
        <f>Informação!I65</f>
        <v>0</v>
      </c>
      <c r="G54">
        <f>Informação!F65</f>
        <v>0</v>
      </c>
      <c r="H54">
        <f>Informação!M65</f>
        <v>0</v>
      </c>
      <c r="I54">
        <f>Informação!L65</f>
        <v>0</v>
      </c>
      <c r="J54">
        <f>Informação!K65</f>
        <v>0</v>
      </c>
      <c r="K54">
        <f>Informação!J65</f>
        <v>0</v>
      </c>
      <c r="L54">
        <f>Informação!N65</f>
        <v>0</v>
      </c>
      <c r="M54" t="str">
        <f t="shared" si="1"/>
        <v>0-0</v>
      </c>
      <c r="N54">
        <f>Informação!O65</f>
        <v>0</v>
      </c>
      <c r="O54">
        <f>Informação!P65</f>
        <v>0</v>
      </c>
      <c r="P54" t="s">
        <v>501</v>
      </c>
      <c r="Q54" t="s">
        <v>501</v>
      </c>
      <c r="R54">
        <f>Informação!$G$5</f>
        <v>0</v>
      </c>
    </row>
    <row r="55" spans="1:18" x14ac:dyDescent="0.25">
      <c r="A55">
        <f>Informação!B66</f>
        <v>-1</v>
      </c>
      <c r="B55" s="29" t="str">
        <f>CONCATENATE(TEXT(YEAR(Informação!G66),"0000"),"-",TEXT(MONTH(Informação!G66),"00"),"-",TEXT(DAY(Informação!G66),"00"))</f>
        <v>1900-01-00</v>
      </c>
      <c r="C55">
        <f>Informação!D66</f>
        <v>0</v>
      </c>
      <c r="D55">
        <f>Informação!E66</f>
        <v>0</v>
      </c>
      <c r="E55" t="e">
        <f>Informação!Q66</f>
        <v>#N/A</v>
      </c>
      <c r="F55" s="26">
        <f>Informação!I66</f>
        <v>0</v>
      </c>
      <c r="G55">
        <f>Informação!F66</f>
        <v>0</v>
      </c>
      <c r="H55">
        <f>Informação!M66</f>
        <v>0</v>
      </c>
      <c r="I55">
        <f>Informação!L66</f>
        <v>0</v>
      </c>
      <c r="J55">
        <f>Informação!K66</f>
        <v>0</v>
      </c>
      <c r="K55">
        <f>Informação!J66</f>
        <v>0</v>
      </c>
      <c r="L55">
        <f>Informação!N66</f>
        <v>0</v>
      </c>
      <c r="M55" t="str">
        <f t="shared" si="1"/>
        <v>0-0</v>
      </c>
      <c r="N55">
        <f>Informação!O66</f>
        <v>0</v>
      </c>
      <c r="O55">
        <f>Informação!P66</f>
        <v>0</v>
      </c>
      <c r="P55" t="s">
        <v>501</v>
      </c>
      <c r="Q55" t="s">
        <v>501</v>
      </c>
      <c r="R55">
        <f>Informação!$G$5</f>
        <v>0</v>
      </c>
    </row>
    <row r="56" spans="1:18" x14ac:dyDescent="0.25">
      <c r="A56">
        <f>Informação!B67</f>
        <v>-1</v>
      </c>
      <c r="B56" s="29" t="str">
        <f>CONCATENATE(TEXT(YEAR(Informação!G67),"0000"),"-",TEXT(MONTH(Informação!G67),"00"),"-",TEXT(DAY(Informação!G67),"00"))</f>
        <v>1900-01-00</v>
      </c>
      <c r="C56">
        <f>Informação!D67</f>
        <v>0</v>
      </c>
      <c r="D56">
        <f>Informação!E67</f>
        <v>0</v>
      </c>
      <c r="E56" t="e">
        <f>Informação!Q67</f>
        <v>#N/A</v>
      </c>
      <c r="F56" s="26">
        <f>Informação!I67</f>
        <v>0</v>
      </c>
      <c r="G56">
        <f>Informação!F67</f>
        <v>0</v>
      </c>
      <c r="H56">
        <f>Informação!M67</f>
        <v>0</v>
      </c>
      <c r="I56">
        <f>Informação!L67</f>
        <v>0</v>
      </c>
      <c r="J56">
        <f>Informação!K67</f>
        <v>0</v>
      </c>
      <c r="K56">
        <f>Informação!J67</f>
        <v>0</v>
      </c>
      <c r="L56">
        <f>Informação!N67</f>
        <v>0</v>
      </c>
      <c r="M56" t="str">
        <f t="shared" si="1"/>
        <v>0-0</v>
      </c>
      <c r="N56">
        <f>Informação!O67</f>
        <v>0</v>
      </c>
      <c r="O56">
        <f>Informação!P67</f>
        <v>0</v>
      </c>
      <c r="P56" t="s">
        <v>501</v>
      </c>
      <c r="Q56" t="s">
        <v>501</v>
      </c>
      <c r="R56">
        <f>Informação!$G$5</f>
        <v>0</v>
      </c>
    </row>
    <row r="57" spans="1:18" x14ac:dyDescent="0.25">
      <c r="A57">
        <f>Informação!B68</f>
        <v>-1</v>
      </c>
      <c r="B57" s="29" t="str">
        <f>CONCATENATE(TEXT(YEAR(Informação!G68),"0000"),"-",TEXT(MONTH(Informação!G68),"00"),"-",TEXT(DAY(Informação!G68),"00"))</f>
        <v>1900-01-00</v>
      </c>
      <c r="C57">
        <f>Informação!D68</f>
        <v>0</v>
      </c>
      <c r="D57">
        <f>Informação!E68</f>
        <v>0</v>
      </c>
      <c r="E57" t="e">
        <f>Informação!Q68</f>
        <v>#N/A</v>
      </c>
      <c r="F57" s="26">
        <f>Informação!I68</f>
        <v>0</v>
      </c>
      <c r="G57">
        <f>Informação!F68</f>
        <v>0</v>
      </c>
      <c r="H57">
        <f>Informação!M68</f>
        <v>0</v>
      </c>
      <c r="I57">
        <f>Informação!L68</f>
        <v>0</v>
      </c>
      <c r="J57">
        <f>Informação!K68</f>
        <v>0</v>
      </c>
      <c r="K57">
        <f>Informação!J68</f>
        <v>0</v>
      </c>
      <c r="L57">
        <f>Informação!N68</f>
        <v>0</v>
      </c>
      <c r="M57" t="str">
        <f t="shared" si="1"/>
        <v>0-0</v>
      </c>
      <c r="N57">
        <f>Informação!O68</f>
        <v>0</v>
      </c>
      <c r="O57">
        <f>Informação!P68</f>
        <v>0</v>
      </c>
      <c r="P57" t="s">
        <v>501</v>
      </c>
      <c r="Q57" t="s">
        <v>501</v>
      </c>
      <c r="R57">
        <f>Informação!$G$5</f>
        <v>0</v>
      </c>
    </row>
    <row r="58" spans="1:18" x14ac:dyDescent="0.25">
      <c r="A58">
        <f>Informação!B69</f>
        <v>-1</v>
      </c>
      <c r="B58" s="29" t="str">
        <f>CONCATENATE(TEXT(YEAR(Informação!G69),"0000"),"-",TEXT(MONTH(Informação!G69),"00"),"-",TEXT(DAY(Informação!G69),"00"))</f>
        <v>1900-01-00</v>
      </c>
      <c r="C58">
        <f>Informação!D69</f>
        <v>0</v>
      </c>
      <c r="D58">
        <f>Informação!E69</f>
        <v>0</v>
      </c>
      <c r="E58" t="e">
        <f>Informação!Q69</f>
        <v>#N/A</v>
      </c>
      <c r="F58" s="26">
        <f>Informação!I69</f>
        <v>0</v>
      </c>
      <c r="G58">
        <f>Informação!F69</f>
        <v>0</v>
      </c>
      <c r="H58">
        <f>Informação!M69</f>
        <v>0</v>
      </c>
      <c r="I58">
        <f>Informação!L69</f>
        <v>0</v>
      </c>
      <c r="J58">
        <f>Informação!K69</f>
        <v>0</v>
      </c>
      <c r="K58">
        <f>Informação!J69</f>
        <v>0</v>
      </c>
      <c r="L58">
        <f>Informação!N69</f>
        <v>0</v>
      </c>
      <c r="M58" t="str">
        <f t="shared" si="1"/>
        <v>0-0</v>
      </c>
      <c r="N58">
        <f>Informação!O69</f>
        <v>0</v>
      </c>
      <c r="O58">
        <f>Informação!P69</f>
        <v>0</v>
      </c>
      <c r="P58" t="s">
        <v>501</v>
      </c>
      <c r="Q58" t="s">
        <v>501</v>
      </c>
      <c r="R58">
        <f>Informação!$G$5</f>
        <v>0</v>
      </c>
    </row>
    <row r="59" spans="1:18" x14ac:dyDescent="0.25">
      <c r="A59">
        <f>Informação!B70</f>
        <v>-1</v>
      </c>
      <c r="B59" s="29" t="str">
        <f>CONCATENATE(TEXT(YEAR(Informação!G70),"0000"),"-",TEXT(MONTH(Informação!G70),"00"),"-",TEXT(DAY(Informação!G70),"00"))</f>
        <v>1900-01-00</v>
      </c>
      <c r="C59">
        <f>Informação!D70</f>
        <v>0</v>
      </c>
      <c r="D59">
        <f>Informação!E70</f>
        <v>0</v>
      </c>
      <c r="E59" t="e">
        <f>Informação!Q70</f>
        <v>#N/A</v>
      </c>
      <c r="F59" s="26">
        <f>Informação!I70</f>
        <v>0</v>
      </c>
      <c r="G59">
        <f>Informação!F70</f>
        <v>0</v>
      </c>
      <c r="H59">
        <f>Informação!M70</f>
        <v>0</v>
      </c>
      <c r="I59">
        <f>Informação!L70</f>
        <v>0</v>
      </c>
      <c r="J59">
        <f>Informação!K70</f>
        <v>0</v>
      </c>
      <c r="K59">
        <f>Informação!J70</f>
        <v>0</v>
      </c>
      <c r="L59">
        <f>Informação!N70</f>
        <v>0</v>
      </c>
      <c r="M59" t="str">
        <f t="shared" si="1"/>
        <v>0-0</v>
      </c>
      <c r="N59">
        <f>Informação!O70</f>
        <v>0</v>
      </c>
      <c r="O59">
        <f>Informação!P70</f>
        <v>0</v>
      </c>
      <c r="P59" t="s">
        <v>501</v>
      </c>
      <c r="Q59" t="s">
        <v>501</v>
      </c>
      <c r="R59">
        <f>Informação!$G$5</f>
        <v>0</v>
      </c>
    </row>
    <row r="60" spans="1:18" x14ac:dyDescent="0.25">
      <c r="A60">
        <f>Informação!B71</f>
        <v>-1</v>
      </c>
      <c r="B60" s="29" t="str">
        <f>CONCATENATE(TEXT(YEAR(Informação!G71),"0000"),"-",TEXT(MONTH(Informação!G71),"00"),"-",TEXT(DAY(Informação!G71),"00"))</f>
        <v>1900-01-00</v>
      </c>
      <c r="C60">
        <f>Informação!D71</f>
        <v>0</v>
      </c>
      <c r="D60">
        <f>Informação!E71</f>
        <v>0</v>
      </c>
      <c r="E60" t="e">
        <f>Informação!Q71</f>
        <v>#N/A</v>
      </c>
      <c r="F60" s="26">
        <f>Informação!I71</f>
        <v>0</v>
      </c>
      <c r="G60">
        <f>Informação!F71</f>
        <v>0</v>
      </c>
      <c r="H60">
        <f>Informação!M71</f>
        <v>0</v>
      </c>
      <c r="I60">
        <f>Informação!L71</f>
        <v>0</v>
      </c>
      <c r="J60">
        <f>Informação!K71</f>
        <v>0</v>
      </c>
      <c r="K60">
        <f>Informação!J71</f>
        <v>0</v>
      </c>
      <c r="L60">
        <f>Informação!N71</f>
        <v>0</v>
      </c>
      <c r="M60" t="str">
        <f t="shared" si="1"/>
        <v>0-0</v>
      </c>
      <c r="N60">
        <f>Informação!O71</f>
        <v>0</v>
      </c>
      <c r="O60">
        <f>Informação!P71</f>
        <v>0</v>
      </c>
      <c r="P60" t="s">
        <v>501</v>
      </c>
      <c r="Q60" t="s">
        <v>501</v>
      </c>
      <c r="R60">
        <f>Informação!$G$5</f>
        <v>0</v>
      </c>
    </row>
    <row r="61" spans="1:18" x14ac:dyDescent="0.25">
      <c r="A61">
        <f>Informação!B72</f>
        <v>-1</v>
      </c>
      <c r="B61" s="29" t="str">
        <f>CONCATENATE(TEXT(YEAR(Informação!G72),"0000"),"-",TEXT(MONTH(Informação!G72),"00"),"-",TEXT(DAY(Informação!G72),"00"))</f>
        <v>1900-01-00</v>
      </c>
      <c r="C61">
        <f>Informação!D72</f>
        <v>0</v>
      </c>
      <c r="D61">
        <f>Informação!E72</f>
        <v>0</v>
      </c>
      <c r="E61" t="e">
        <f>Informação!Q72</f>
        <v>#N/A</v>
      </c>
      <c r="F61" s="26">
        <f>Informação!I72</f>
        <v>0</v>
      </c>
      <c r="G61">
        <f>Informação!F72</f>
        <v>0</v>
      </c>
      <c r="H61">
        <f>Informação!M72</f>
        <v>0</v>
      </c>
      <c r="I61">
        <f>Informação!L72</f>
        <v>0</v>
      </c>
      <c r="J61">
        <f>Informação!K72</f>
        <v>0</v>
      </c>
      <c r="K61">
        <f>Informação!J72</f>
        <v>0</v>
      </c>
      <c r="L61">
        <f>Informação!N72</f>
        <v>0</v>
      </c>
      <c r="M61" t="str">
        <f t="shared" si="1"/>
        <v>0-0</v>
      </c>
      <c r="N61">
        <f>Informação!O72</f>
        <v>0</v>
      </c>
      <c r="O61">
        <f>Informação!P72</f>
        <v>0</v>
      </c>
      <c r="P61" t="s">
        <v>501</v>
      </c>
      <c r="Q61" t="s">
        <v>501</v>
      </c>
      <c r="R61">
        <f>Informação!$G$5</f>
        <v>0</v>
      </c>
    </row>
    <row r="62" spans="1:18" x14ac:dyDescent="0.25">
      <c r="A62">
        <f>Informação!B73</f>
        <v>-1</v>
      </c>
      <c r="B62" s="29" t="str">
        <f>CONCATENATE(TEXT(YEAR(Informação!G73),"0000"),"-",TEXT(MONTH(Informação!G73),"00"),"-",TEXT(DAY(Informação!G73),"00"))</f>
        <v>1900-01-00</v>
      </c>
      <c r="C62">
        <f>Informação!D73</f>
        <v>0</v>
      </c>
      <c r="D62">
        <f>Informação!E73</f>
        <v>0</v>
      </c>
      <c r="E62" t="e">
        <f>Informação!Q73</f>
        <v>#N/A</v>
      </c>
      <c r="F62" s="26">
        <f>Informação!I73</f>
        <v>0</v>
      </c>
      <c r="G62">
        <f>Informação!F73</f>
        <v>0</v>
      </c>
      <c r="H62">
        <f>Informação!M73</f>
        <v>0</v>
      </c>
      <c r="I62">
        <f>Informação!L73</f>
        <v>0</v>
      </c>
      <c r="J62">
        <f>Informação!K73</f>
        <v>0</v>
      </c>
      <c r="K62">
        <f>Informação!J73</f>
        <v>0</v>
      </c>
      <c r="L62">
        <f>Informação!N73</f>
        <v>0</v>
      </c>
      <c r="M62" t="str">
        <f t="shared" si="1"/>
        <v>0-0</v>
      </c>
      <c r="N62">
        <f>Informação!O73</f>
        <v>0</v>
      </c>
      <c r="O62">
        <f>Informação!P73</f>
        <v>0</v>
      </c>
      <c r="P62" t="s">
        <v>501</v>
      </c>
      <c r="Q62" t="s">
        <v>501</v>
      </c>
      <c r="R62">
        <f>Informação!$G$5</f>
        <v>0</v>
      </c>
    </row>
    <row r="63" spans="1:18" x14ac:dyDescent="0.25">
      <c r="A63">
        <f>Informação!B74</f>
        <v>-1</v>
      </c>
      <c r="B63" s="29" t="str">
        <f>CONCATENATE(TEXT(YEAR(Informação!G74),"0000"),"-",TEXT(MONTH(Informação!G74),"00"),"-",TEXT(DAY(Informação!G74),"00"))</f>
        <v>1900-01-00</v>
      </c>
      <c r="C63">
        <f>Informação!D74</f>
        <v>0</v>
      </c>
      <c r="D63">
        <f>Informação!E74</f>
        <v>0</v>
      </c>
      <c r="E63" t="e">
        <f>Informação!Q74</f>
        <v>#N/A</v>
      </c>
      <c r="F63" s="26">
        <f>Informação!I74</f>
        <v>0</v>
      </c>
      <c r="G63">
        <f>Informação!F74</f>
        <v>0</v>
      </c>
      <c r="H63">
        <f>Informação!M74</f>
        <v>0</v>
      </c>
      <c r="I63">
        <f>Informação!L74</f>
        <v>0</v>
      </c>
      <c r="J63">
        <f>Informação!K74</f>
        <v>0</v>
      </c>
      <c r="K63">
        <f>Informação!J74</f>
        <v>0</v>
      </c>
      <c r="L63">
        <f>Informação!N74</f>
        <v>0</v>
      </c>
      <c r="M63" t="str">
        <f t="shared" si="1"/>
        <v>0-0</v>
      </c>
      <c r="N63">
        <f>Informação!O74</f>
        <v>0</v>
      </c>
      <c r="O63">
        <f>Informação!P74</f>
        <v>0</v>
      </c>
      <c r="P63" t="s">
        <v>501</v>
      </c>
      <c r="Q63" t="s">
        <v>501</v>
      </c>
      <c r="R63">
        <f>Informação!$G$5</f>
        <v>0</v>
      </c>
    </row>
    <row r="64" spans="1:18" x14ac:dyDescent="0.25">
      <c r="A64">
        <f>Informação!B75</f>
        <v>-1</v>
      </c>
      <c r="B64" s="29" t="str">
        <f>CONCATENATE(TEXT(YEAR(Informação!G75),"0000"),"-",TEXT(MONTH(Informação!G75),"00"),"-",TEXT(DAY(Informação!G75),"00"))</f>
        <v>1900-01-00</v>
      </c>
      <c r="C64">
        <f>Informação!D75</f>
        <v>0</v>
      </c>
      <c r="D64">
        <f>Informação!E75</f>
        <v>0</v>
      </c>
      <c r="E64" t="e">
        <f>Informação!Q75</f>
        <v>#N/A</v>
      </c>
      <c r="F64" s="26">
        <f>Informação!I75</f>
        <v>0</v>
      </c>
      <c r="G64">
        <f>Informação!F75</f>
        <v>0</v>
      </c>
      <c r="H64">
        <f>Informação!M75</f>
        <v>0</v>
      </c>
      <c r="I64">
        <f>Informação!L75</f>
        <v>0</v>
      </c>
      <c r="J64">
        <f>Informação!K75</f>
        <v>0</v>
      </c>
      <c r="K64">
        <f>Informação!J75</f>
        <v>0</v>
      </c>
      <c r="L64">
        <f>Informação!N75</f>
        <v>0</v>
      </c>
      <c r="M64" t="str">
        <f t="shared" si="1"/>
        <v>0-0</v>
      </c>
      <c r="N64">
        <f>Informação!O75</f>
        <v>0</v>
      </c>
      <c r="O64">
        <f>Informação!P75</f>
        <v>0</v>
      </c>
      <c r="P64" t="s">
        <v>501</v>
      </c>
      <c r="Q64" t="s">
        <v>501</v>
      </c>
      <c r="R64">
        <f>Informação!$G$5</f>
        <v>0</v>
      </c>
    </row>
    <row r="65" spans="1:18" x14ac:dyDescent="0.25">
      <c r="A65">
        <f>Informação!B76</f>
        <v>-1</v>
      </c>
      <c r="B65" s="29" t="str">
        <f>CONCATENATE(TEXT(YEAR(Informação!G76),"0000"),"-",TEXT(MONTH(Informação!G76),"00"),"-",TEXT(DAY(Informação!G76),"00"))</f>
        <v>1900-01-00</v>
      </c>
      <c r="C65">
        <f>Informação!D76</f>
        <v>0</v>
      </c>
      <c r="D65">
        <f>Informação!E76</f>
        <v>0</v>
      </c>
      <c r="E65" t="e">
        <f>Informação!Q76</f>
        <v>#N/A</v>
      </c>
      <c r="F65" s="26">
        <f>Informação!I76</f>
        <v>0</v>
      </c>
      <c r="G65">
        <f>Informação!F76</f>
        <v>0</v>
      </c>
      <c r="H65">
        <f>Informação!M76</f>
        <v>0</v>
      </c>
      <c r="I65">
        <f>Informação!L76</f>
        <v>0</v>
      </c>
      <c r="J65">
        <f>Informação!K76</f>
        <v>0</v>
      </c>
      <c r="K65">
        <f>Informação!J76</f>
        <v>0</v>
      </c>
      <c r="L65">
        <f>Informação!N76</f>
        <v>0</v>
      </c>
      <c r="M65" t="str">
        <f t="shared" si="1"/>
        <v>0-0</v>
      </c>
      <c r="N65">
        <f>Informação!O76</f>
        <v>0</v>
      </c>
      <c r="O65">
        <f>Informação!P76</f>
        <v>0</v>
      </c>
      <c r="P65" t="s">
        <v>501</v>
      </c>
      <c r="Q65" t="s">
        <v>501</v>
      </c>
      <c r="R65">
        <f>Informação!$G$5</f>
        <v>0</v>
      </c>
    </row>
    <row r="66" spans="1:18" x14ac:dyDescent="0.25">
      <c r="A66">
        <f>Informação!B77</f>
        <v>-1</v>
      </c>
      <c r="B66" s="29" t="str">
        <f>CONCATENATE(TEXT(YEAR(Informação!G77),"0000"),"-",TEXT(MONTH(Informação!G77),"00"),"-",TEXT(DAY(Informação!G77),"00"))</f>
        <v>1900-01-00</v>
      </c>
      <c r="C66">
        <f>Informação!D77</f>
        <v>0</v>
      </c>
      <c r="D66">
        <f>Informação!E77</f>
        <v>0</v>
      </c>
      <c r="E66" t="e">
        <f>Informação!Q77</f>
        <v>#N/A</v>
      </c>
      <c r="F66" s="26">
        <f>Informação!I77</f>
        <v>0</v>
      </c>
      <c r="G66">
        <f>Informação!F77</f>
        <v>0</v>
      </c>
      <c r="H66">
        <f>Informação!M77</f>
        <v>0</v>
      </c>
      <c r="I66">
        <f>Informação!L77</f>
        <v>0</v>
      </c>
      <c r="J66">
        <f>Informação!K77</f>
        <v>0</v>
      </c>
      <c r="K66">
        <f>Informação!J77</f>
        <v>0</v>
      </c>
      <c r="L66">
        <f>Informação!N77</f>
        <v>0</v>
      </c>
      <c r="M66" t="str">
        <f t="shared" si="1"/>
        <v>0-0</v>
      </c>
      <c r="N66">
        <f>Informação!O77</f>
        <v>0</v>
      </c>
      <c r="O66">
        <f>Informação!P77</f>
        <v>0</v>
      </c>
      <c r="P66" t="s">
        <v>501</v>
      </c>
      <c r="Q66" t="s">
        <v>501</v>
      </c>
      <c r="R66">
        <f>Informação!$G$5</f>
        <v>0</v>
      </c>
    </row>
    <row r="67" spans="1:18" x14ac:dyDescent="0.25">
      <c r="A67">
        <f>Informação!B78</f>
        <v>-1</v>
      </c>
      <c r="B67" s="29" t="str">
        <f>CONCATENATE(TEXT(YEAR(Informação!G78),"0000"),"-",TEXT(MONTH(Informação!G78),"00"),"-",TEXT(DAY(Informação!G78),"00"))</f>
        <v>1900-01-00</v>
      </c>
      <c r="C67">
        <f>Informação!D78</f>
        <v>0</v>
      </c>
      <c r="D67">
        <f>Informação!E78</f>
        <v>0</v>
      </c>
      <c r="E67" t="e">
        <f>Informação!Q78</f>
        <v>#N/A</v>
      </c>
      <c r="F67" s="26">
        <f>Informação!I78</f>
        <v>0</v>
      </c>
      <c r="G67">
        <f>Informação!F78</f>
        <v>0</v>
      </c>
      <c r="H67">
        <f>Informação!M78</f>
        <v>0</v>
      </c>
      <c r="I67">
        <f>Informação!L78</f>
        <v>0</v>
      </c>
      <c r="J67">
        <f>Informação!K78</f>
        <v>0</v>
      </c>
      <c r="K67">
        <f>Informação!J78</f>
        <v>0</v>
      </c>
      <c r="L67">
        <f>Informação!N78</f>
        <v>0</v>
      </c>
      <c r="M67" t="str">
        <f t="shared" si="1"/>
        <v>0-0</v>
      </c>
      <c r="N67">
        <f>Informação!O78</f>
        <v>0</v>
      </c>
      <c r="O67">
        <f>Informação!P78</f>
        <v>0</v>
      </c>
      <c r="P67" t="s">
        <v>501</v>
      </c>
      <c r="Q67" t="s">
        <v>501</v>
      </c>
      <c r="R67">
        <f>Informação!$G$5</f>
        <v>0</v>
      </c>
    </row>
    <row r="68" spans="1:18" x14ac:dyDescent="0.25">
      <c r="A68">
        <f>Informação!B79</f>
        <v>-1</v>
      </c>
      <c r="B68" s="29" t="str">
        <f>CONCATENATE(TEXT(YEAR(Informação!G79),"0000"),"-",TEXT(MONTH(Informação!G79),"00"),"-",TEXT(DAY(Informação!G79),"00"))</f>
        <v>1900-01-00</v>
      </c>
      <c r="C68">
        <f>Informação!D79</f>
        <v>0</v>
      </c>
      <c r="D68">
        <f>Informação!E79</f>
        <v>0</v>
      </c>
      <c r="E68" t="e">
        <f>Informação!Q79</f>
        <v>#N/A</v>
      </c>
      <c r="F68" s="26">
        <f>Informação!I79</f>
        <v>0</v>
      </c>
      <c r="G68">
        <f>Informação!F79</f>
        <v>0</v>
      </c>
      <c r="H68">
        <f>Informação!M79</f>
        <v>0</v>
      </c>
      <c r="I68">
        <f>Informação!L79</f>
        <v>0</v>
      </c>
      <c r="J68">
        <f>Informação!K79</f>
        <v>0</v>
      </c>
      <c r="K68">
        <f>Informação!J79</f>
        <v>0</v>
      </c>
      <c r="L68">
        <f>Informação!N79</f>
        <v>0</v>
      </c>
      <c r="M68" t="str">
        <f t="shared" si="1"/>
        <v>0-0</v>
      </c>
      <c r="N68">
        <f>Informação!O79</f>
        <v>0</v>
      </c>
      <c r="O68">
        <f>Informação!P79</f>
        <v>0</v>
      </c>
      <c r="P68" t="s">
        <v>501</v>
      </c>
      <c r="Q68" t="s">
        <v>501</v>
      </c>
      <c r="R68">
        <f>Informação!$G$5</f>
        <v>0</v>
      </c>
    </row>
    <row r="69" spans="1:18" x14ac:dyDescent="0.25">
      <c r="A69">
        <f>Informação!B80</f>
        <v>-1</v>
      </c>
      <c r="B69" s="29" t="str">
        <f>CONCATENATE(TEXT(YEAR(Informação!G80),"0000"),"-",TEXT(MONTH(Informação!G80),"00"),"-",TEXT(DAY(Informação!G80),"00"))</f>
        <v>1900-01-00</v>
      </c>
      <c r="C69">
        <f>Informação!D80</f>
        <v>0</v>
      </c>
      <c r="D69">
        <f>Informação!E80</f>
        <v>0</v>
      </c>
      <c r="E69" t="e">
        <f>Informação!Q80</f>
        <v>#N/A</v>
      </c>
      <c r="F69" s="26">
        <f>Informação!I80</f>
        <v>0</v>
      </c>
      <c r="G69">
        <f>Informação!F80</f>
        <v>0</v>
      </c>
      <c r="H69">
        <f>Informação!M80</f>
        <v>0</v>
      </c>
      <c r="I69">
        <f>Informação!L80</f>
        <v>0</v>
      </c>
      <c r="J69">
        <f>Informação!K80</f>
        <v>0</v>
      </c>
      <c r="K69">
        <f>Informação!J80</f>
        <v>0</v>
      </c>
      <c r="L69">
        <f>Informação!N80</f>
        <v>0</v>
      </c>
      <c r="M69" t="str">
        <f t="shared" si="1"/>
        <v>0-0</v>
      </c>
      <c r="N69">
        <f>Informação!O80</f>
        <v>0</v>
      </c>
      <c r="O69">
        <f>Informação!P80</f>
        <v>0</v>
      </c>
      <c r="P69" t="s">
        <v>501</v>
      </c>
      <c r="Q69" t="s">
        <v>501</v>
      </c>
      <c r="R69">
        <f>Informação!$G$5</f>
        <v>0</v>
      </c>
    </row>
    <row r="70" spans="1:18" x14ac:dyDescent="0.25">
      <c r="A70">
        <f>Informação!B81</f>
        <v>-1</v>
      </c>
      <c r="B70" s="29" t="str">
        <f>CONCATENATE(TEXT(YEAR(Informação!G81),"0000"),"-",TEXT(MONTH(Informação!G81),"00"),"-",TEXT(DAY(Informação!G81),"00"))</f>
        <v>1900-01-00</v>
      </c>
      <c r="C70">
        <f>Informação!D81</f>
        <v>0</v>
      </c>
      <c r="D70">
        <f>Informação!E81</f>
        <v>0</v>
      </c>
      <c r="E70" t="e">
        <f>Informação!Q81</f>
        <v>#N/A</v>
      </c>
      <c r="F70" s="26">
        <f>Informação!I81</f>
        <v>0</v>
      </c>
      <c r="G70">
        <f>Informação!F81</f>
        <v>0</v>
      </c>
      <c r="H70">
        <f>Informação!M81</f>
        <v>0</v>
      </c>
      <c r="I70">
        <f>Informação!L81</f>
        <v>0</v>
      </c>
      <c r="J70">
        <f>Informação!K81</f>
        <v>0</v>
      </c>
      <c r="K70">
        <f>Informação!J81</f>
        <v>0</v>
      </c>
      <c r="L70">
        <f>Informação!N81</f>
        <v>0</v>
      </c>
      <c r="M70" t="str">
        <f t="shared" si="1"/>
        <v>0-0</v>
      </c>
      <c r="N70">
        <f>Informação!O81</f>
        <v>0</v>
      </c>
      <c r="O70">
        <f>Informação!P81</f>
        <v>0</v>
      </c>
      <c r="P70" t="s">
        <v>501</v>
      </c>
      <c r="Q70" t="s">
        <v>501</v>
      </c>
      <c r="R70">
        <f>Informação!$G$5</f>
        <v>0</v>
      </c>
    </row>
    <row r="71" spans="1:18" x14ac:dyDescent="0.25">
      <c r="A71">
        <f>Informação!B82</f>
        <v>-1</v>
      </c>
      <c r="B71" s="29" t="str">
        <f>CONCATENATE(TEXT(YEAR(Informação!G82),"0000"),"-",TEXT(MONTH(Informação!G82),"00"),"-",TEXT(DAY(Informação!G82),"00"))</f>
        <v>1900-01-00</v>
      </c>
      <c r="C71">
        <f>Informação!D82</f>
        <v>0</v>
      </c>
      <c r="D71">
        <f>Informação!E82</f>
        <v>0</v>
      </c>
      <c r="E71" t="e">
        <f>Informação!Q82</f>
        <v>#N/A</v>
      </c>
      <c r="F71" s="26">
        <f>Informação!I82</f>
        <v>0</v>
      </c>
      <c r="G71">
        <f>Informação!F82</f>
        <v>0</v>
      </c>
      <c r="H71">
        <f>Informação!M82</f>
        <v>0</v>
      </c>
      <c r="I71">
        <f>Informação!L82</f>
        <v>0</v>
      </c>
      <c r="J71">
        <f>Informação!K82</f>
        <v>0</v>
      </c>
      <c r="K71">
        <f>Informação!J82</f>
        <v>0</v>
      </c>
      <c r="L71">
        <f>Informação!N82</f>
        <v>0</v>
      </c>
      <c r="M71" t="str">
        <f t="shared" si="1"/>
        <v>0-0</v>
      </c>
      <c r="N71">
        <f>Informação!O82</f>
        <v>0</v>
      </c>
      <c r="O71">
        <f>Informação!P82</f>
        <v>0</v>
      </c>
      <c r="P71" t="s">
        <v>501</v>
      </c>
      <c r="Q71" t="s">
        <v>501</v>
      </c>
      <c r="R71">
        <f>Informação!$G$5</f>
        <v>0</v>
      </c>
    </row>
    <row r="72" spans="1:18" x14ac:dyDescent="0.25">
      <c r="A72">
        <f>Informação!B83</f>
        <v>-1</v>
      </c>
      <c r="B72" s="29" t="str">
        <f>CONCATENATE(TEXT(YEAR(Informação!G83),"0000"),"-",TEXT(MONTH(Informação!G83),"00"),"-",TEXT(DAY(Informação!G83),"00"))</f>
        <v>1900-01-00</v>
      </c>
      <c r="C72">
        <f>Informação!D83</f>
        <v>0</v>
      </c>
      <c r="D72">
        <f>Informação!E83</f>
        <v>0</v>
      </c>
      <c r="E72" t="e">
        <f>Informação!Q83</f>
        <v>#N/A</v>
      </c>
      <c r="F72" s="26">
        <f>Informação!I83</f>
        <v>0</v>
      </c>
      <c r="G72">
        <f>Informação!F83</f>
        <v>0</v>
      </c>
      <c r="H72">
        <f>Informação!M83</f>
        <v>0</v>
      </c>
      <c r="I72">
        <f>Informação!L83</f>
        <v>0</v>
      </c>
      <c r="J72">
        <f>Informação!K83</f>
        <v>0</v>
      </c>
      <c r="K72">
        <f>Informação!J83</f>
        <v>0</v>
      </c>
      <c r="L72">
        <f>Informação!N83</f>
        <v>0</v>
      </c>
      <c r="M72" t="str">
        <f t="shared" si="1"/>
        <v>0-0</v>
      </c>
      <c r="N72">
        <f>Informação!O83</f>
        <v>0</v>
      </c>
      <c r="O72">
        <f>Informação!P83</f>
        <v>0</v>
      </c>
      <c r="P72" t="s">
        <v>501</v>
      </c>
      <c r="Q72" t="s">
        <v>501</v>
      </c>
      <c r="R72">
        <f>Informação!$G$5</f>
        <v>0</v>
      </c>
    </row>
    <row r="73" spans="1:18" x14ac:dyDescent="0.25">
      <c r="A73">
        <f>Informação!B84</f>
        <v>-1</v>
      </c>
      <c r="B73" s="29" t="str">
        <f>CONCATENATE(TEXT(YEAR(Informação!G84),"0000"),"-",TEXT(MONTH(Informação!G84),"00"),"-",TEXT(DAY(Informação!G84),"00"))</f>
        <v>1900-01-00</v>
      </c>
      <c r="C73">
        <f>Informação!D84</f>
        <v>0</v>
      </c>
      <c r="D73">
        <f>Informação!E84</f>
        <v>0</v>
      </c>
      <c r="E73" t="e">
        <f>Informação!Q84</f>
        <v>#N/A</v>
      </c>
      <c r="F73" s="26">
        <f>Informação!I84</f>
        <v>0</v>
      </c>
      <c r="G73">
        <f>Informação!F84</f>
        <v>0</v>
      </c>
      <c r="H73">
        <f>Informação!M84</f>
        <v>0</v>
      </c>
      <c r="I73">
        <f>Informação!L84</f>
        <v>0</v>
      </c>
      <c r="J73">
        <f>Informação!K84</f>
        <v>0</v>
      </c>
      <c r="K73">
        <f>Informação!J84</f>
        <v>0</v>
      </c>
      <c r="L73">
        <f>Informação!N84</f>
        <v>0</v>
      </c>
      <c r="M73" t="str">
        <f t="shared" si="1"/>
        <v>0-0</v>
      </c>
      <c r="N73">
        <f>Informação!O84</f>
        <v>0</v>
      </c>
      <c r="O73">
        <f>Informação!P84</f>
        <v>0</v>
      </c>
      <c r="P73" t="s">
        <v>501</v>
      </c>
      <c r="Q73" t="s">
        <v>501</v>
      </c>
      <c r="R73">
        <f>Informação!$G$5</f>
        <v>0</v>
      </c>
    </row>
    <row r="74" spans="1:18" x14ac:dyDescent="0.25">
      <c r="A74">
        <f>Informação!B85</f>
        <v>-1</v>
      </c>
      <c r="B74" s="29" t="str">
        <f>CONCATENATE(TEXT(YEAR(Informação!G85),"0000"),"-",TEXT(MONTH(Informação!G85),"00"),"-",TEXT(DAY(Informação!G85),"00"))</f>
        <v>1900-01-00</v>
      </c>
      <c r="C74">
        <f>Informação!D85</f>
        <v>0</v>
      </c>
      <c r="D74">
        <f>Informação!E85</f>
        <v>0</v>
      </c>
      <c r="E74" t="e">
        <f>Informação!Q85</f>
        <v>#N/A</v>
      </c>
      <c r="F74" s="26">
        <f>Informação!I85</f>
        <v>0</v>
      </c>
      <c r="G74">
        <f>Informação!F85</f>
        <v>0</v>
      </c>
      <c r="H74">
        <f>Informação!M85</f>
        <v>0</v>
      </c>
      <c r="I74">
        <f>Informação!L85</f>
        <v>0</v>
      </c>
      <c r="J74">
        <f>Informação!K85</f>
        <v>0</v>
      </c>
      <c r="K74">
        <f>Informação!J85</f>
        <v>0</v>
      </c>
      <c r="L74">
        <f>Informação!N85</f>
        <v>0</v>
      </c>
      <c r="M74" t="str">
        <f t="shared" si="1"/>
        <v>0-0</v>
      </c>
      <c r="N74">
        <f>Informação!O85</f>
        <v>0</v>
      </c>
      <c r="O74">
        <f>Informação!P85</f>
        <v>0</v>
      </c>
      <c r="P74" t="s">
        <v>501</v>
      </c>
      <c r="Q74" t="s">
        <v>501</v>
      </c>
      <c r="R74">
        <f>Informação!$G$5</f>
        <v>0</v>
      </c>
    </row>
    <row r="75" spans="1:18" x14ac:dyDescent="0.25">
      <c r="A75">
        <f>Informação!B86</f>
        <v>-1</v>
      </c>
      <c r="B75" s="29" t="str">
        <f>CONCATENATE(TEXT(YEAR(Informação!G86),"0000"),"-",TEXT(MONTH(Informação!G86),"00"),"-",TEXT(DAY(Informação!G86),"00"))</f>
        <v>1900-01-00</v>
      </c>
      <c r="C75">
        <f>Informação!D86</f>
        <v>0</v>
      </c>
      <c r="D75">
        <f>Informação!E86</f>
        <v>0</v>
      </c>
      <c r="E75" t="e">
        <f>Informação!Q86</f>
        <v>#N/A</v>
      </c>
      <c r="F75" s="26">
        <f>Informação!I86</f>
        <v>0</v>
      </c>
      <c r="G75">
        <f>Informação!F86</f>
        <v>0</v>
      </c>
      <c r="H75">
        <f>Informação!M86</f>
        <v>0</v>
      </c>
      <c r="I75">
        <f>Informação!L86</f>
        <v>0</v>
      </c>
      <c r="J75">
        <f>Informação!K86</f>
        <v>0</v>
      </c>
      <c r="K75">
        <f>Informação!J86</f>
        <v>0</v>
      </c>
      <c r="L75">
        <f>Informação!N86</f>
        <v>0</v>
      </c>
      <c r="M75" t="str">
        <f t="shared" si="1"/>
        <v>0-0</v>
      </c>
      <c r="N75">
        <f>Informação!O86</f>
        <v>0</v>
      </c>
      <c r="O75">
        <f>Informação!P86</f>
        <v>0</v>
      </c>
      <c r="P75" t="s">
        <v>501</v>
      </c>
      <c r="Q75" t="s">
        <v>501</v>
      </c>
      <c r="R75">
        <f>Informação!$G$5</f>
        <v>0</v>
      </c>
    </row>
    <row r="76" spans="1:18" x14ac:dyDescent="0.25">
      <c r="A76">
        <f>Informação!B87</f>
        <v>-1</v>
      </c>
      <c r="B76" s="29" t="str">
        <f>CONCATENATE(TEXT(YEAR(Informação!G87),"0000"),"-",TEXT(MONTH(Informação!G87),"00"),"-",TEXT(DAY(Informação!G87),"00"))</f>
        <v>1900-01-00</v>
      </c>
      <c r="C76">
        <f>Informação!D87</f>
        <v>0</v>
      </c>
      <c r="D76">
        <f>Informação!E87</f>
        <v>0</v>
      </c>
      <c r="E76" t="e">
        <f>Informação!Q87</f>
        <v>#N/A</v>
      </c>
      <c r="F76" s="26">
        <f>Informação!I87</f>
        <v>0</v>
      </c>
      <c r="G76">
        <f>Informação!F87</f>
        <v>0</v>
      </c>
      <c r="H76">
        <f>Informação!M87</f>
        <v>0</v>
      </c>
      <c r="I76">
        <f>Informação!L87</f>
        <v>0</v>
      </c>
      <c r="J76">
        <f>Informação!K87</f>
        <v>0</v>
      </c>
      <c r="K76">
        <f>Informação!J87</f>
        <v>0</v>
      </c>
      <c r="L76">
        <f>Informação!N87</f>
        <v>0</v>
      </c>
      <c r="M76" t="str">
        <f t="shared" si="1"/>
        <v>0-0</v>
      </c>
      <c r="N76">
        <f>Informação!O87</f>
        <v>0</v>
      </c>
      <c r="O76">
        <f>Informação!P87</f>
        <v>0</v>
      </c>
      <c r="P76" t="s">
        <v>501</v>
      </c>
      <c r="Q76" t="s">
        <v>501</v>
      </c>
      <c r="R76">
        <f>Informação!$G$5</f>
        <v>0</v>
      </c>
    </row>
    <row r="77" spans="1:18" x14ac:dyDescent="0.25">
      <c r="A77">
        <f>Informação!B88</f>
        <v>-1</v>
      </c>
      <c r="B77" s="29" t="str">
        <f>CONCATENATE(TEXT(YEAR(Informação!G88),"0000"),"-",TEXT(MONTH(Informação!G88),"00"),"-",TEXT(DAY(Informação!G88),"00"))</f>
        <v>1900-01-00</v>
      </c>
      <c r="C77">
        <f>Informação!D88</f>
        <v>0</v>
      </c>
      <c r="D77">
        <f>Informação!E88</f>
        <v>0</v>
      </c>
      <c r="E77" t="e">
        <f>Informação!Q88</f>
        <v>#N/A</v>
      </c>
      <c r="F77" s="26">
        <f>Informação!I88</f>
        <v>0</v>
      </c>
      <c r="G77">
        <f>Informação!F88</f>
        <v>0</v>
      </c>
      <c r="H77">
        <f>Informação!M88</f>
        <v>0</v>
      </c>
      <c r="I77">
        <f>Informação!L88</f>
        <v>0</v>
      </c>
      <c r="J77">
        <f>Informação!K88</f>
        <v>0</v>
      </c>
      <c r="K77">
        <f>Informação!J88</f>
        <v>0</v>
      </c>
      <c r="L77">
        <f>Informação!N88</f>
        <v>0</v>
      </c>
      <c r="M77" t="str">
        <f t="shared" si="1"/>
        <v>0-0</v>
      </c>
      <c r="N77">
        <f>Informação!O88</f>
        <v>0</v>
      </c>
      <c r="O77">
        <f>Informação!P88</f>
        <v>0</v>
      </c>
      <c r="P77" t="s">
        <v>501</v>
      </c>
      <c r="Q77" t="s">
        <v>501</v>
      </c>
      <c r="R77">
        <f>Informação!$G$5</f>
        <v>0</v>
      </c>
    </row>
    <row r="78" spans="1:18" x14ac:dyDescent="0.25">
      <c r="A78">
        <f>Informação!B89</f>
        <v>-1</v>
      </c>
      <c r="B78" s="29" t="str">
        <f>CONCATENATE(TEXT(YEAR(Informação!G89),"0000"),"-",TEXT(MONTH(Informação!G89),"00"),"-",TEXT(DAY(Informação!G89),"00"))</f>
        <v>1900-01-00</v>
      </c>
      <c r="C78">
        <f>Informação!D89</f>
        <v>0</v>
      </c>
      <c r="D78">
        <f>Informação!E89</f>
        <v>0</v>
      </c>
      <c r="E78" t="e">
        <f>Informação!Q89</f>
        <v>#N/A</v>
      </c>
      <c r="F78" s="26">
        <f>Informação!I89</f>
        <v>0</v>
      </c>
      <c r="G78">
        <f>Informação!F89</f>
        <v>0</v>
      </c>
      <c r="H78">
        <f>Informação!M89</f>
        <v>0</v>
      </c>
      <c r="I78">
        <f>Informação!L89</f>
        <v>0</v>
      </c>
      <c r="J78">
        <f>Informação!K89</f>
        <v>0</v>
      </c>
      <c r="K78">
        <f>Informação!J89</f>
        <v>0</v>
      </c>
      <c r="L78">
        <f>Informação!N89</f>
        <v>0</v>
      </c>
      <c r="M78" t="str">
        <f t="shared" si="1"/>
        <v>0-0</v>
      </c>
      <c r="N78">
        <f>Informação!O89</f>
        <v>0</v>
      </c>
      <c r="O78">
        <f>Informação!P89</f>
        <v>0</v>
      </c>
      <c r="P78" t="s">
        <v>501</v>
      </c>
      <c r="Q78" t="s">
        <v>501</v>
      </c>
      <c r="R78">
        <f>Informação!$G$5</f>
        <v>0</v>
      </c>
    </row>
    <row r="79" spans="1:18" x14ac:dyDescent="0.25">
      <c r="A79">
        <f>Informação!B90</f>
        <v>-1</v>
      </c>
      <c r="B79" s="29" t="str">
        <f>CONCATENATE(TEXT(YEAR(Informação!G90),"0000"),"-",TEXT(MONTH(Informação!G90),"00"),"-",TEXT(DAY(Informação!G90),"00"))</f>
        <v>1900-01-00</v>
      </c>
      <c r="C79">
        <f>Informação!D90</f>
        <v>0</v>
      </c>
      <c r="D79">
        <f>Informação!E90</f>
        <v>0</v>
      </c>
      <c r="E79" t="e">
        <f>Informação!Q90</f>
        <v>#N/A</v>
      </c>
      <c r="F79" s="26">
        <f>Informação!I90</f>
        <v>0</v>
      </c>
      <c r="G79">
        <f>Informação!F90</f>
        <v>0</v>
      </c>
      <c r="H79">
        <f>Informação!M90</f>
        <v>0</v>
      </c>
      <c r="I79">
        <f>Informação!L90</f>
        <v>0</v>
      </c>
      <c r="J79">
        <f>Informação!K90</f>
        <v>0</v>
      </c>
      <c r="K79">
        <f>Informação!J90</f>
        <v>0</v>
      </c>
      <c r="L79">
        <f>Informação!N90</f>
        <v>0</v>
      </c>
      <c r="M79" t="str">
        <f t="shared" si="1"/>
        <v>0-0</v>
      </c>
      <c r="N79">
        <f>Informação!O90</f>
        <v>0</v>
      </c>
      <c r="O79">
        <f>Informação!P90</f>
        <v>0</v>
      </c>
      <c r="P79" t="s">
        <v>501</v>
      </c>
      <c r="Q79" t="s">
        <v>501</v>
      </c>
      <c r="R79">
        <f>Informação!$G$5</f>
        <v>0</v>
      </c>
    </row>
    <row r="80" spans="1:18" x14ac:dyDescent="0.25">
      <c r="A80">
        <f>Informação!B91</f>
        <v>-1</v>
      </c>
      <c r="B80" s="29" t="str">
        <f>CONCATENATE(TEXT(YEAR(Informação!G91),"0000"),"-",TEXT(MONTH(Informação!G91),"00"),"-",TEXT(DAY(Informação!G91),"00"))</f>
        <v>1900-01-00</v>
      </c>
      <c r="C80">
        <f>Informação!D91</f>
        <v>0</v>
      </c>
      <c r="D80">
        <f>Informação!E91</f>
        <v>0</v>
      </c>
      <c r="E80" t="e">
        <f>Informação!Q91</f>
        <v>#N/A</v>
      </c>
      <c r="F80" s="26">
        <f>Informação!I91</f>
        <v>0</v>
      </c>
      <c r="G80">
        <f>Informação!F91</f>
        <v>0</v>
      </c>
      <c r="H80">
        <f>Informação!M91</f>
        <v>0</v>
      </c>
      <c r="I80">
        <f>Informação!L91</f>
        <v>0</v>
      </c>
      <c r="J80">
        <f>Informação!K91</f>
        <v>0</v>
      </c>
      <c r="K80">
        <f>Informação!J91</f>
        <v>0</v>
      </c>
      <c r="L80">
        <f>Informação!N91</f>
        <v>0</v>
      </c>
      <c r="M80" t="str">
        <f t="shared" si="1"/>
        <v>0-0</v>
      </c>
      <c r="N80">
        <f>Informação!O91</f>
        <v>0</v>
      </c>
      <c r="O80">
        <f>Informação!P91</f>
        <v>0</v>
      </c>
      <c r="P80" t="s">
        <v>501</v>
      </c>
      <c r="Q80" t="s">
        <v>501</v>
      </c>
      <c r="R80">
        <f>Informação!$G$5</f>
        <v>0</v>
      </c>
    </row>
    <row r="81" spans="1:18" x14ac:dyDescent="0.25">
      <c r="A81">
        <f>Informação!B92</f>
        <v>-1</v>
      </c>
      <c r="B81" s="29" t="str">
        <f>CONCATENATE(TEXT(YEAR(Informação!G92),"0000"),"-",TEXT(MONTH(Informação!G92),"00"),"-",TEXT(DAY(Informação!G92),"00"))</f>
        <v>1900-01-00</v>
      </c>
      <c r="C81">
        <f>Informação!D92</f>
        <v>0</v>
      </c>
      <c r="D81">
        <f>Informação!E92</f>
        <v>0</v>
      </c>
      <c r="E81" t="e">
        <f>Informação!Q92</f>
        <v>#N/A</v>
      </c>
      <c r="F81" s="26">
        <f>Informação!I92</f>
        <v>0</v>
      </c>
      <c r="G81">
        <f>Informação!F92</f>
        <v>0</v>
      </c>
      <c r="H81">
        <f>Informação!M92</f>
        <v>0</v>
      </c>
      <c r="I81">
        <f>Informação!L92</f>
        <v>0</v>
      </c>
      <c r="J81">
        <f>Informação!K92</f>
        <v>0</v>
      </c>
      <c r="K81">
        <f>Informação!J92</f>
        <v>0</v>
      </c>
      <c r="L81">
        <f>Informação!N92</f>
        <v>0</v>
      </c>
      <c r="M81" t="str">
        <f t="shared" si="1"/>
        <v>0-0</v>
      </c>
      <c r="N81">
        <f>Informação!O92</f>
        <v>0</v>
      </c>
      <c r="O81">
        <f>Informação!P92</f>
        <v>0</v>
      </c>
      <c r="P81" t="s">
        <v>501</v>
      </c>
      <c r="Q81" t="s">
        <v>501</v>
      </c>
      <c r="R81">
        <f>Informação!$G$5</f>
        <v>0</v>
      </c>
    </row>
    <row r="82" spans="1:18" x14ac:dyDescent="0.25">
      <c r="A82">
        <f>Informação!B93</f>
        <v>-1</v>
      </c>
      <c r="B82" s="29" t="str">
        <f>CONCATENATE(TEXT(YEAR(Informação!G93),"0000"),"-",TEXT(MONTH(Informação!G93),"00"),"-",TEXT(DAY(Informação!G93),"00"))</f>
        <v>1900-01-00</v>
      </c>
      <c r="C82">
        <f>Informação!D93</f>
        <v>0</v>
      </c>
      <c r="D82">
        <f>Informação!E93</f>
        <v>0</v>
      </c>
      <c r="E82" t="e">
        <f>Informação!Q93</f>
        <v>#N/A</v>
      </c>
      <c r="F82" s="26">
        <f>Informação!I93</f>
        <v>0</v>
      </c>
      <c r="G82">
        <f>Informação!F93</f>
        <v>0</v>
      </c>
      <c r="H82">
        <f>Informação!M93</f>
        <v>0</v>
      </c>
      <c r="I82">
        <f>Informação!L93</f>
        <v>0</v>
      </c>
      <c r="J82">
        <f>Informação!K93</f>
        <v>0</v>
      </c>
      <c r="K82">
        <f>Informação!J93</f>
        <v>0</v>
      </c>
      <c r="L82">
        <f>Informação!N93</f>
        <v>0</v>
      </c>
      <c r="M82" t="str">
        <f t="shared" si="1"/>
        <v>0-0</v>
      </c>
      <c r="N82">
        <f>Informação!O93</f>
        <v>0</v>
      </c>
      <c r="O82">
        <f>Informação!P93</f>
        <v>0</v>
      </c>
      <c r="P82" t="s">
        <v>501</v>
      </c>
      <c r="Q82" t="s">
        <v>501</v>
      </c>
      <c r="R82">
        <f>Informação!$G$5</f>
        <v>0</v>
      </c>
    </row>
    <row r="83" spans="1:18" x14ac:dyDescent="0.25">
      <c r="A83">
        <f>Informação!B94</f>
        <v>-1</v>
      </c>
      <c r="B83" s="29" t="str">
        <f>CONCATENATE(TEXT(YEAR(Informação!G94),"0000"),"-",TEXT(MONTH(Informação!G94),"00"),"-",TEXT(DAY(Informação!G94),"00"))</f>
        <v>1900-01-00</v>
      </c>
      <c r="C83">
        <f>Informação!D94</f>
        <v>0</v>
      </c>
      <c r="D83">
        <f>Informação!E94</f>
        <v>0</v>
      </c>
      <c r="E83" t="e">
        <f>Informação!Q94</f>
        <v>#N/A</v>
      </c>
      <c r="F83" s="26">
        <f>Informação!I94</f>
        <v>0</v>
      </c>
      <c r="G83">
        <f>Informação!F94</f>
        <v>0</v>
      </c>
      <c r="H83">
        <f>Informação!M94</f>
        <v>0</v>
      </c>
      <c r="I83">
        <f>Informação!L94</f>
        <v>0</v>
      </c>
      <c r="J83">
        <f>Informação!K94</f>
        <v>0</v>
      </c>
      <c r="K83">
        <f>Informação!J94</f>
        <v>0</v>
      </c>
      <c r="L83">
        <f>Informação!N94</f>
        <v>0</v>
      </c>
      <c r="M83" t="str">
        <f t="shared" si="1"/>
        <v>0-0</v>
      </c>
      <c r="N83">
        <f>Informação!O94</f>
        <v>0</v>
      </c>
      <c r="O83">
        <f>Informação!P94</f>
        <v>0</v>
      </c>
      <c r="P83" t="s">
        <v>501</v>
      </c>
      <c r="Q83" t="s">
        <v>501</v>
      </c>
      <c r="R83">
        <f>Informação!$G$5</f>
        <v>0</v>
      </c>
    </row>
    <row r="84" spans="1:18" x14ac:dyDescent="0.25">
      <c r="A84">
        <f>Informação!B95</f>
        <v>-1</v>
      </c>
      <c r="B84" s="29" t="str">
        <f>CONCATENATE(TEXT(YEAR(Informação!G95),"0000"),"-",TEXT(MONTH(Informação!G95),"00"),"-",TEXT(DAY(Informação!G95),"00"))</f>
        <v>1900-01-00</v>
      </c>
      <c r="C84">
        <f>Informação!D95</f>
        <v>0</v>
      </c>
      <c r="D84">
        <f>Informação!E95</f>
        <v>0</v>
      </c>
      <c r="E84" t="e">
        <f>Informação!Q95</f>
        <v>#N/A</v>
      </c>
      <c r="F84" s="26">
        <f>Informação!I95</f>
        <v>0</v>
      </c>
      <c r="G84">
        <f>Informação!F95</f>
        <v>0</v>
      </c>
      <c r="H84">
        <f>Informação!M95</f>
        <v>0</v>
      </c>
      <c r="I84">
        <f>Informação!L95</f>
        <v>0</v>
      </c>
      <c r="J84">
        <f>Informação!K95</f>
        <v>0</v>
      </c>
      <c r="K84">
        <f>Informação!J95</f>
        <v>0</v>
      </c>
      <c r="L84">
        <f>Informação!N95</f>
        <v>0</v>
      </c>
      <c r="M84" t="str">
        <f t="shared" si="1"/>
        <v>0-0</v>
      </c>
      <c r="N84">
        <f>Informação!O95</f>
        <v>0</v>
      </c>
      <c r="O84">
        <f>Informação!P95</f>
        <v>0</v>
      </c>
      <c r="P84" t="s">
        <v>501</v>
      </c>
      <c r="Q84" t="s">
        <v>501</v>
      </c>
      <c r="R84">
        <f>Informação!$G$5</f>
        <v>0</v>
      </c>
    </row>
    <row r="85" spans="1:18" x14ac:dyDescent="0.25">
      <c r="A85">
        <f>Informação!B96</f>
        <v>-1</v>
      </c>
      <c r="B85" s="29" t="str">
        <f>CONCATENATE(TEXT(YEAR(Informação!G96),"0000"),"-",TEXT(MONTH(Informação!G96),"00"),"-",TEXT(DAY(Informação!G96),"00"))</f>
        <v>1900-01-00</v>
      </c>
      <c r="C85">
        <f>Informação!D96</f>
        <v>0</v>
      </c>
      <c r="D85">
        <f>Informação!E96</f>
        <v>0</v>
      </c>
      <c r="E85" t="e">
        <f>Informação!Q96</f>
        <v>#N/A</v>
      </c>
      <c r="F85" s="26">
        <f>Informação!I96</f>
        <v>0</v>
      </c>
      <c r="G85">
        <f>Informação!F96</f>
        <v>0</v>
      </c>
      <c r="H85">
        <f>Informação!M96</f>
        <v>0</v>
      </c>
      <c r="I85">
        <f>Informação!L96</f>
        <v>0</v>
      </c>
      <c r="J85">
        <f>Informação!K96</f>
        <v>0</v>
      </c>
      <c r="K85">
        <f>Informação!J96</f>
        <v>0</v>
      </c>
      <c r="L85">
        <f>Informação!N96</f>
        <v>0</v>
      </c>
      <c r="M85" t="str">
        <f t="shared" si="1"/>
        <v>0-0</v>
      </c>
      <c r="N85">
        <f>Informação!O96</f>
        <v>0</v>
      </c>
      <c r="O85">
        <f>Informação!P96</f>
        <v>0</v>
      </c>
      <c r="P85" t="s">
        <v>501</v>
      </c>
      <c r="Q85" t="s">
        <v>501</v>
      </c>
      <c r="R85">
        <f>Informação!$G$5</f>
        <v>0</v>
      </c>
    </row>
    <row r="86" spans="1:18" x14ac:dyDescent="0.25">
      <c r="A86">
        <f>Informação!B97</f>
        <v>-1</v>
      </c>
      <c r="B86" s="29" t="str">
        <f>CONCATENATE(TEXT(YEAR(Informação!G97),"0000"),"-",TEXT(MONTH(Informação!G97),"00"),"-",TEXT(DAY(Informação!G97),"00"))</f>
        <v>1900-01-00</v>
      </c>
      <c r="C86">
        <f>Informação!D97</f>
        <v>0</v>
      </c>
      <c r="D86">
        <f>Informação!E97</f>
        <v>0</v>
      </c>
      <c r="E86" t="e">
        <f>Informação!Q97</f>
        <v>#N/A</v>
      </c>
      <c r="F86" s="26">
        <f>Informação!I97</f>
        <v>0</v>
      </c>
      <c r="G86">
        <f>Informação!F97</f>
        <v>0</v>
      </c>
      <c r="H86">
        <f>Informação!M97</f>
        <v>0</v>
      </c>
      <c r="I86">
        <f>Informação!L97</f>
        <v>0</v>
      </c>
      <c r="J86">
        <f>Informação!K97</f>
        <v>0</v>
      </c>
      <c r="K86">
        <f>Informação!J97</f>
        <v>0</v>
      </c>
      <c r="L86">
        <f>Informação!N97</f>
        <v>0</v>
      </c>
      <c r="M86" t="str">
        <f t="shared" si="1"/>
        <v>0-0</v>
      </c>
      <c r="N86">
        <f>Informação!O97</f>
        <v>0</v>
      </c>
      <c r="O86">
        <f>Informação!P97</f>
        <v>0</v>
      </c>
      <c r="P86" t="s">
        <v>501</v>
      </c>
      <c r="Q86" t="s">
        <v>501</v>
      </c>
      <c r="R86">
        <f>Informação!$G$5</f>
        <v>0</v>
      </c>
    </row>
    <row r="87" spans="1:18" x14ac:dyDescent="0.25">
      <c r="A87">
        <f>Informação!B98</f>
        <v>-1</v>
      </c>
      <c r="B87" s="29" t="str">
        <f>CONCATENATE(TEXT(YEAR(Informação!G98),"0000"),"-",TEXT(MONTH(Informação!G98),"00"),"-",TEXT(DAY(Informação!G98),"00"))</f>
        <v>1900-01-00</v>
      </c>
      <c r="C87">
        <f>Informação!D98</f>
        <v>0</v>
      </c>
      <c r="D87">
        <f>Informação!E98</f>
        <v>0</v>
      </c>
      <c r="E87" t="e">
        <f>Informação!Q98</f>
        <v>#N/A</v>
      </c>
      <c r="F87" s="26">
        <f>Informação!I98</f>
        <v>0</v>
      </c>
      <c r="G87">
        <f>Informação!F98</f>
        <v>0</v>
      </c>
      <c r="H87">
        <f>Informação!M98</f>
        <v>0</v>
      </c>
      <c r="I87">
        <f>Informação!L98</f>
        <v>0</v>
      </c>
      <c r="J87">
        <f>Informação!K98</f>
        <v>0</v>
      </c>
      <c r="K87">
        <f>Informação!J98</f>
        <v>0</v>
      </c>
      <c r="L87">
        <f>Informação!N98</f>
        <v>0</v>
      </c>
      <c r="M87" t="str">
        <f t="shared" si="1"/>
        <v>0-0</v>
      </c>
      <c r="N87">
        <f>Informação!O98</f>
        <v>0</v>
      </c>
      <c r="O87">
        <f>Informação!P98</f>
        <v>0</v>
      </c>
      <c r="P87" t="s">
        <v>501</v>
      </c>
      <c r="Q87" t="s">
        <v>501</v>
      </c>
      <c r="R87">
        <f>Informação!$G$5</f>
        <v>0</v>
      </c>
    </row>
    <row r="88" spans="1:18" x14ac:dyDescent="0.25">
      <c r="A88">
        <f>Informação!B99</f>
        <v>-1</v>
      </c>
      <c r="B88" s="29" t="str">
        <f>CONCATENATE(TEXT(YEAR(Informação!G99),"0000"),"-",TEXT(MONTH(Informação!G99),"00"),"-",TEXT(DAY(Informação!G99),"00"))</f>
        <v>1900-01-00</v>
      </c>
      <c r="C88">
        <f>Informação!D99</f>
        <v>0</v>
      </c>
      <c r="D88">
        <f>Informação!E99</f>
        <v>0</v>
      </c>
      <c r="E88" t="e">
        <f>Informação!Q99</f>
        <v>#N/A</v>
      </c>
      <c r="F88" s="26">
        <f>Informação!I99</f>
        <v>0</v>
      </c>
      <c r="G88">
        <f>Informação!F99</f>
        <v>0</v>
      </c>
      <c r="H88">
        <f>Informação!M99</f>
        <v>0</v>
      </c>
      <c r="I88">
        <f>Informação!L99</f>
        <v>0</v>
      </c>
      <c r="J88">
        <f>Informação!K99</f>
        <v>0</v>
      </c>
      <c r="K88">
        <f>Informação!J99</f>
        <v>0</v>
      </c>
      <c r="L88">
        <f>Informação!N99</f>
        <v>0</v>
      </c>
      <c r="M88" t="str">
        <f t="shared" si="1"/>
        <v>0-0</v>
      </c>
      <c r="N88">
        <f>Informação!O99</f>
        <v>0</v>
      </c>
      <c r="O88">
        <f>Informação!P99</f>
        <v>0</v>
      </c>
      <c r="P88" t="s">
        <v>501</v>
      </c>
      <c r="Q88" t="s">
        <v>501</v>
      </c>
      <c r="R88">
        <f>Informação!$G$5</f>
        <v>0</v>
      </c>
    </row>
    <row r="89" spans="1:18" x14ac:dyDescent="0.25">
      <c r="A89">
        <f>Informação!B100</f>
        <v>-1</v>
      </c>
      <c r="B89" s="29" t="str">
        <f>CONCATENATE(TEXT(YEAR(Informação!G100),"0000"),"-",TEXT(MONTH(Informação!G100),"00"),"-",TEXT(DAY(Informação!G100),"00"))</f>
        <v>1900-01-00</v>
      </c>
      <c r="C89">
        <f>Informação!D100</f>
        <v>0</v>
      </c>
      <c r="D89">
        <f>Informação!E100</f>
        <v>0</v>
      </c>
      <c r="E89" t="e">
        <f>Informação!Q100</f>
        <v>#N/A</v>
      </c>
      <c r="F89" s="26">
        <f>Informação!I100</f>
        <v>0</v>
      </c>
      <c r="G89">
        <f>Informação!F100</f>
        <v>0</v>
      </c>
      <c r="H89">
        <f>Informação!M100</f>
        <v>0</v>
      </c>
      <c r="I89">
        <f>Informação!L100</f>
        <v>0</v>
      </c>
      <c r="J89">
        <f>Informação!K100</f>
        <v>0</v>
      </c>
      <c r="K89">
        <f>Informação!J100</f>
        <v>0</v>
      </c>
      <c r="L89">
        <f>Informação!N100</f>
        <v>0</v>
      </c>
      <c r="M89" t="str">
        <f t="shared" si="1"/>
        <v>0-0</v>
      </c>
      <c r="N89">
        <f>Informação!O100</f>
        <v>0</v>
      </c>
      <c r="O89">
        <f>Informação!P100</f>
        <v>0</v>
      </c>
      <c r="P89" t="s">
        <v>501</v>
      </c>
      <c r="Q89" t="s">
        <v>501</v>
      </c>
      <c r="R89">
        <f>Informação!$G$5</f>
        <v>0</v>
      </c>
    </row>
    <row r="90" spans="1:18" x14ac:dyDescent="0.25">
      <c r="A90">
        <f>Informação!B101</f>
        <v>-1</v>
      </c>
      <c r="B90" s="29" t="str">
        <f>CONCATENATE(TEXT(YEAR(Informação!G101),"0000"),"-",TEXT(MONTH(Informação!G101),"00"),"-",TEXT(DAY(Informação!G101),"00"))</f>
        <v>1900-01-00</v>
      </c>
      <c r="C90">
        <f>Informação!D101</f>
        <v>0</v>
      </c>
      <c r="D90">
        <f>Informação!E101</f>
        <v>0</v>
      </c>
      <c r="E90" t="e">
        <f>Informação!Q101</f>
        <v>#N/A</v>
      </c>
      <c r="F90" s="26">
        <f>Informação!I101</f>
        <v>0</v>
      </c>
      <c r="G90">
        <f>Informação!F101</f>
        <v>0</v>
      </c>
      <c r="H90">
        <f>Informação!M101</f>
        <v>0</v>
      </c>
      <c r="I90">
        <f>Informação!L101</f>
        <v>0</v>
      </c>
      <c r="J90">
        <f>Informação!K101</f>
        <v>0</v>
      </c>
      <c r="K90">
        <f>Informação!J101</f>
        <v>0</v>
      </c>
      <c r="L90">
        <f>Informação!N101</f>
        <v>0</v>
      </c>
      <c r="M90" t="str">
        <f t="shared" si="1"/>
        <v>0-0</v>
      </c>
      <c r="N90">
        <f>Informação!O101</f>
        <v>0</v>
      </c>
      <c r="O90">
        <f>Informação!P101</f>
        <v>0</v>
      </c>
      <c r="P90" t="s">
        <v>501</v>
      </c>
      <c r="Q90" t="s">
        <v>501</v>
      </c>
      <c r="R90">
        <f>Informação!$G$5</f>
        <v>0</v>
      </c>
    </row>
    <row r="91" spans="1:18" x14ac:dyDescent="0.25">
      <c r="A91">
        <f>Informação!B102</f>
        <v>-1</v>
      </c>
      <c r="B91" s="29" t="str">
        <f>CONCATENATE(TEXT(YEAR(Informação!G102),"0000"),"-",TEXT(MONTH(Informação!G102),"00"),"-",TEXT(DAY(Informação!G102),"00"))</f>
        <v>1900-01-00</v>
      </c>
      <c r="C91">
        <f>Informação!D102</f>
        <v>0</v>
      </c>
      <c r="D91">
        <f>Informação!E102</f>
        <v>0</v>
      </c>
      <c r="E91" t="e">
        <f>Informação!Q102</f>
        <v>#N/A</v>
      </c>
      <c r="F91" s="26">
        <f>Informação!I102</f>
        <v>0</v>
      </c>
      <c r="G91">
        <f>Informação!F102</f>
        <v>0</v>
      </c>
      <c r="H91">
        <f>Informação!M102</f>
        <v>0</v>
      </c>
      <c r="I91">
        <f>Informação!L102</f>
        <v>0</v>
      </c>
      <c r="J91">
        <f>Informação!K102</f>
        <v>0</v>
      </c>
      <c r="K91">
        <f>Informação!J102</f>
        <v>0</v>
      </c>
      <c r="L91">
        <f>Informação!N102</f>
        <v>0</v>
      </c>
      <c r="M91" t="str">
        <f t="shared" ref="M91:M101" si="2">CONCATENATE(N91,"-",O91)</f>
        <v>0-0</v>
      </c>
      <c r="N91">
        <f>Informação!O102</f>
        <v>0</v>
      </c>
      <c r="O91">
        <f>Informação!P102</f>
        <v>0</v>
      </c>
      <c r="P91" t="s">
        <v>501</v>
      </c>
      <c r="Q91" t="s">
        <v>501</v>
      </c>
      <c r="R91">
        <f>Informação!$G$5</f>
        <v>0</v>
      </c>
    </row>
    <row r="92" spans="1:18" x14ac:dyDescent="0.25">
      <c r="A92">
        <f>Informação!B103</f>
        <v>-1</v>
      </c>
      <c r="B92" s="29" t="str">
        <f>CONCATENATE(TEXT(YEAR(Informação!G103),"0000"),"-",TEXT(MONTH(Informação!G103),"00"),"-",TEXT(DAY(Informação!G103),"00"))</f>
        <v>1900-01-00</v>
      </c>
      <c r="C92">
        <f>Informação!D103</f>
        <v>0</v>
      </c>
      <c r="D92">
        <f>Informação!E103</f>
        <v>0</v>
      </c>
      <c r="E92" t="e">
        <f>Informação!Q103</f>
        <v>#N/A</v>
      </c>
      <c r="F92" s="26">
        <f>Informação!I103</f>
        <v>0</v>
      </c>
      <c r="G92">
        <f>Informação!F103</f>
        <v>0</v>
      </c>
      <c r="H92">
        <f>Informação!M103</f>
        <v>0</v>
      </c>
      <c r="I92">
        <f>Informação!L103</f>
        <v>0</v>
      </c>
      <c r="J92">
        <f>Informação!K103</f>
        <v>0</v>
      </c>
      <c r="K92">
        <f>Informação!J103</f>
        <v>0</v>
      </c>
      <c r="L92">
        <f>Informação!N103</f>
        <v>0</v>
      </c>
      <c r="M92" t="str">
        <f t="shared" si="2"/>
        <v>0-0</v>
      </c>
      <c r="N92">
        <f>Informação!O103</f>
        <v>0</v>
      </c>
      <c r="O92">
        <f>Informação!P103</f>
        <v>0</v>
      </c>
      <c r="P92" t="s">
        <v>501</v>
      </c>
      <c r="Q92" t="s">
        <v>501</v>
      </c>
      <c r="R92">
        <f>Informação!$G$5</f>
        <v>0</v>
      </c>
    </row>
    <row r="93" spans="1:18" x14ac:dyDescent="0.25">
      <c r="A93">
        <f>Informação!B104</f>
        <v>-1</v>
      </c>
      <c r="B93" s="29" t="str">
        <f>CONCATENATE(TEXT(YEAR(Informação!G104),"0000"),"-",TEXT(MONTH(Informação!G104),"00"),"-",TEXT(DAY(Informação!G104),"00"))</f>
        <v>1900-01-00</v>
      </c>
      <c r="C93">
        <f>Informação!D104</f>
        <v>0</v>
      </c>
      <c r="D93">
        <f>Informação!E104</f>
        <v>0</v>
      </c>
      <c r="E93" t="e">
        <f>Informação!Q104</f>
        <v>#N/A</v>
      </c>
      <c r="F93" s="26">
        <f>Informação!I104</f>
        <v>0</v>
      </c>
      <c r="G93">
        <f>Informação!F104</f>
        <v>0</v>
      </c>
      <c r="H93">
        <f>Informação!M104</f>
        <v>0</v>
      </c>
      <c r="I93">
        <f>Informação!L104</f>
        <v>0</v>
      </c>
      <c r="J93">
        <f>Informação!K104</f>
        <v>0</v>
      </c>
      <c r="K93">
        <f>Informação!J104</f>
        <v>0</v>
      </c>
      <c r="L93">
        <f>Informação!N104</f>
        <v>0</v>
      </c>
      <c r="M93" t="str">
        <f t="shared" si="2"/>
        <v>0-0</v>
      </c>
      <c r="N93">
        <f>Informação!O104</f>
        <v>0</v>
      </c>
      <c r="O93">
        <f>Informação!P104</f>
        <v>0</v>
      </c>
      <c r="P93" t="s">
        <v>501</v>
      </c>
      <c r="Q93" t="s">
        <v>501</v>
      </c>
      <c r="R93">
        <f>Informação!$G$5</f>
        <v>0</v>
      </c>
    </row>
    <row r="94" spans="1:18" x14ac:dyDescent="0.25">
      <c r="A94">
        <f>Informação!B105</f>
        <v>-1</v>
      </c>
      <c r="B94" s="29" t="str">
        <f>CONCATENATE(TEXT(YEAR(Informação!G105),"0000"),"-",TEXT(MONTH(Informação!G105),"00"),"-",TEXT(DAY(Informação!G105),"00"))</f>
        <v>1900-01-00</v>
      </c>
      <c r="C94">
        <f>Informação!D105</f>
        <v>0</v>
      </c>
      <c r="D94">
        <f>Informação!E105</f>
        <v>0</v>
      </c>
      <c r="E94" t="e">
        <f>Informação!Q105</f>
        <v>#N/A</v>
      </c>
      <c r="F94" s="26">
        <f>Informação!I105</f>
        <v>0</v>
      </c>
      <c r="G94">
        <f>Informação!F105</f>
        <v>0</v>
      </c>
      <c r="H94">
        <f>Informação!M105</f>
        <v>0</v>
      </c>
      <c r="I94">
        <f>Informação!L105</f>
        <v>0</v>
      </c>
      <c r="J94">
        <f>Informação!K105</f>
        <v>0</v>
      </c>
      <c r="K94">
        <f>Informação!J105</f>
        <v>0</v>
      </c>
      <c r="L94">
        <f>Informação!N105</f>
        <v>0</v>
      </c>
      <c r="M94" t="str">
        <f t="shared" si="2"/>
        <v>0-0</v>
      </c>
      <c r="N94">
        <f>Informação!O105</f>
        <v>0</v>
      </c>
      <c r="O94">
        <f>Informação!P105</f>
        <v>0</v>
      </c>
      <c r="P94" t="s">
        <v>501</v>
      </c>
      <c r="Q94" t="s">
        <v>501</v>
      </c>
      <c r="R94">
        <f>Informação!$G$5</f>
        <v>0</v>
      </c>
    </row>
    <row r="95" spans="1:18" x14ac:dyDescent="0.25">
      <c r="A95">
        <f>Informação!B106</f>
        <v>-1</v>
      </c>
      <c r="B95" s="29" t="str">
        <f>CONCATENATE(TEXT(YEAR(Informação!G106),"0000"),"-",TEXT(MONTH(Informação!G106),"00"),"-",TEXT(DAY(Informação!G106),"00"))</f>
        <v>1900-01-00</v>
      </c>
      <c r="C95">
        <f>Informação!D106</f>
        <v>0</v>
      </c>
      <c r="D95">
        <f>Informação!E106</f>
        <v>0</v>
      </c>
      <c r="E95" t="e">
        <f>Informação!Q106</f>
        <v>#N/A</v>
      </c>
      <c r="F95" s="26">
        <f>Informação!I106</f>
        <v>0</v>
      </c>
      <c r="G95">
        <f>Informação!F106</f>
        <v>0</v>
      </c>
      <c r="H95">
        <f>Informação!M106</f>
        <v>0</v>
      </c>
      <c r="I95">
        <f>Informação!L106</f>
        <v>0</v>
      </c>
      <c r="J95">
        <f>Informação!K106</f>
        <v>0</v>
      </c>
      <c r="K95">
        <f>Informação!J106</f>
        <v>0</v>
      </c>
      <c r="L95">
        <f>Informação!N106</f>
        <v>0</v>
      </c>
      <c r="M95" t="str">
        <f t="shared" si="2"/>
        <v>0-0</v>
      </c>
      <c r="N95">
        <f>Informação!O106</f>
        <v>0</v>
      </c>
      <c r="O95">
        <f>Informação!P106</f>
        <v>0</v>
      </c>
      <c r="P95" t="s">
        <v>501</v>
      </c>
      <c r="Q95" t="s">
        <v>501</v>
      </c>
      <c r="R95">
        <f>Informação!$G$5</f>
        <v>0</v>
      </c>
    </row>
    <row r="96" spans="1:18" x14ac:dyDescent="0.25">
      <c r="A96">
        <f>Informação!B107</f>
        <v>-1</v>
      </c>
      <c r="B96" s="29" t="str">
        <f>CONCATENATE(TEXT(YEAR(Informação!G107),"0000"),"-",TEXT(MONTH(Informação!G107),"00"),"-",TEXT(DAY(Informação!G107),"00"))</f>
        <v>1900-01-00</v>
      </c>
      <c r="C96">
        <f>Informação!D107</f>
        <v>0</v>
      </c>
      <c r="D96">
        <f>Informação!E107</f>
        <v>0</v>
      </c>
      <c r="E96" t="e">
        <f>Informação!Q107</f>
        <v>#N/A</v>
      </c>
      <c r="F96" s="26">
        <f>Informação!I107</f>
        <v>0</v>
      </c>
      <c r="G96">
        <f>Informação!F107</f>
        <v>0</v>
      </c>
      <c r="H96">
        <f>Informação!M107</f>
        <v>0</v>
      </c>
      <c r="I96">
        <f>Informação!L107</f>
        <v>0</v>
      </c>
      <c r="J96">
        <f>Informação!K107</f>
        <v>0</v>
      </c>
      <c r="K96">
        <f>Informação!J107</f>
        <v>0</v>
      </c>
      <c r="L96">
        <f>Informação!N107</f>
        <v>0</v>
      </c>
      <c r="M96" t="str">
        <f t="shared" si="2"/>
        <v>0-0</v>
      </c>
      <c r="N96">
        <f>Informação!O107</f>
        <v>0</v>
      </c>
      <c r="O96">
        <f>Informação!P107</f>
        <v>0</v>
      </c>
      <c r="P96" t="s">
        <v>501</v>
      </c>
      <c r="Q96" t="s">
        <v>501</v>
      </c>
      <c r="R96">
        <f>Informação!$G$5</f>
        <v>0</v>
      </c>
    </row>
    <row r="97" spans="1:18" x14ac:dyDescent="0.25">
      <c r="A97">
        <f>Informação!B108</f>
        <v>-1</v>
      </c>
      <c r="B97" s="29" t="str">
        <f>CONCATENATE(TEXT(YEAR(Informação!G108),"0000"),"-",TEXT(MONTH(Informação!G108),"00"),"-",TEXT(DAY(Informação!G108),"00"))</f>
        <v>1900-01-00</v>
      </c>
      <c r="C97">
        <f>Informação!D108</f>
        <v>0</v>
      </c>
      <c r="D97">
        <f>Informação!E108</f>
        <v>0</v>
      </c>
      <c r="E97" t="e">
        <f>Informação!Q108</f>
        <v>#N/A</v>
      </c>
      <c r="F97" s="26">
        <f>Informação!I108</f>
        <v>0</v>
      </c>
      <c r="G97">
        <f>Informação!F108</f>
        <v>0</v>
      </c>
      <c r="H97">
        <f>Informação!M108</f>
        <v>0</v>
      </c>
      <c r="I97">
        <f>Informação!L108</f>
        <v>0</v>
      </c>
      <c r="J97">
        <f>Informação!K108</f>
        <v>0</v>
      </c>
      <c r="K97">
        <f>Informação!J108</f>
        <v>0</v>
      </c>
      <c r="L97">
        <f>Informação!N108</f>
        <v>0</v>
      </c>
      <c r="M97" t="str">
        <f t="shared" si="2"/>
        <v>0-0</v>
      </c>
      <c r="N97">
        <f>Informação!O108</f>
        <v>0</v>
      </c>
      <c r="O97">
        <f>Informação!P108</f>
        <v>0</v>
      </c>
      <c r="P97" t="s">
        <v>501</v>
      </c>
      <c r="Q97" t="s">
        <v>501</v>
      </c>
      <c r="R97">
        <f>Informação!$G$5</f>
        <v>0</v>
      </c>
    </row>
    <row r="98" spans="1:18" x14ac:dyDescent="0.25">
      <c r="A98">
        <f>Informação!B109</f>
        <v>-1</v>
      </c>
      <c r="B98" s="29" t="str">
        <f>CONCATENATE(TEXT(YEAR(Informação!G109),"0000"),"-",TEXT(MONTH(Informação!G109),"00"),"-",TEXT(DAY(Informação!G109),"00"))</f>
        <v>1900-01-00</v>
      </c>
      <c r="C98">
        <f>Informação!D109</f>
        <v>0</v>
      </c>
      <c r="D98">
        <f>Informação!E109</f>
        <v>0</v>
      </c>
      <c r="E98" t="e">
        <f>Informação!Q109</f>
        <v>#N/A</v>
      </c>
      <c r="F98" s="26">
        <f>Informação!I109</f>
        <v>0</v>
      </c>
      <c r="G98">
        <f>Informação!F109</f>
        <v>0</v>
      </c>
      <c r="H98">
        <f>Informação!M109</f>
        <v>0</v>
      </c>
      <c r="I98">
        <f>Informação!L109</f>
        <v>0</v>
      </c>
      <c r="J98">
        <f>Informação!K109</f>
        <v>0</v>
      </c>
      <c r="K98">
        <f>Informação!J109</f>
        <v>0</v>
      </c>
      <c r="L98">
        <f>Informação!N109</f>
        <v>0</v>
      </c>
      <c r="M98" t="str">
        <f t="shared" si="2"/>
        <v>0-0</v>
      </c>
      <c r="N98">
        <f>Informação!O109</f>
        <v>0</v>
      </c>
      <c r="O98">
        <f>Informação!P109</f>
        <v>0</v>
      </c>
      <c r="P98" t="s">
        <v>501</v>
      </c>
      <c r="Q98" t="s">
        <v>501</v>
      </c>
      <c r="R98">
        <f>Informação!$G$5</f>
        <v>0</v>
      </c>
    </row>
    <row r="99" spans="1:18" x14ac:dyDescent="0.25">
      <c r="A99">
        <f>Informação!B110</f>
        <v>-1</v>
      </c>
      <c r="B99" s="29" t="str">
        <f>CONCATENATE(TEXT(YEAR(Informação!G110),"0000"),"-",TEXT(MONTH(Informação!G110),"00"),"-",TEXT(DAY(Informação!G110),"00"))</f>
        <v>1900-01-00</v>
      </c>
      <c r="C99">
        <f>Informação!D110</f>
        <v>0</v>
      </c>
      <c r="D99">
        <f>Informação!E110</f>
        <v>0</v>
      </c>
      <c r="E99" t="e">
        <f>Informação!Q110</f>
        <v>#N/A</v>
      </c>
      <c r="F99" s="26">
        <f>Informação!I110</f>
        <v>0</v>
      </c>
      <c r="G99">
        <f>Informação!F110</f>
        <v>0</v>
      </c>
      <c r="H99">
        <f>Informação!M110</f>
        <v>0</v>
      </c>
      <c r="I99">
        <f>Informação!L110</f>
        <v>0</v>
      </c>
      <c r="J99">
        <f>Informação!K110</f>
        <v>0</v>
      </c>
      <c r="K99">
        <f>Informação!J110</f>
        <v>0</v>
      </c>
      <c r="L99">
        <f>Informação!N110</f>
        <v>0</v>
      </c>
      <c r="M99" t="str">
        <f t="shared" si="2"/>
        <v>0-0</v>
      </c>
      <c r="N99">
        <f>Informação!O110</f>
        <v>0</v>
      </c>
      <c r="O99">
        <f>Informação!P110</f>
        <v>0</v>
      </c>
      <c r="P99" t="s">
        <v>501</v>
      </c>
      <c r="Q99" t="s">
        <v>501</v>
      </c>
      <c r="R99">
        <f>Informação!$G$5</f>
        <v>0</v>
      </c>
    </row>
    <row r="100" spans="1:18" x14ac:dyDescent="0.25">
      <c r="A100">
        <f>Informação!B111</f>
        <v>-1</v>
      </c>
      <c r="B100" s="29" t="str">
        <f>CONCATENATE(TEXT(YEAR(Informação!G111),"0000"),"-",TEXT(MONTH(Informação!G111),"00"),"-",TEXT(DAY(Informação!G111),"00"))</f>
        <v>1900-01-00</v>
      </c>
      <c r="C100">
        <f>Informação!D111</f>
        <v>0</v>
      </c>
      <c r="D100">
        <f>Informação!E111</f>
        <v>0</v>
      </c>
      <c r="E100" t="e">
        <f>Informação!Q111</f>
        <v>#N/A</v>
      </c>
      <c r="F100" s="26">
        <f>Informação!I111</f>
        <v>0</v>
      </c>
      <c r="G100">
        <f>Informação!F111</f>
        <v>0</v>
      </c>
      <c r="H100">
        <f>Informação!M111</f>
        <v>0</v>
      </c>
      <c r="I100">
        <f>Informação!L111</f>
        <v>0</v>
      </c>
      <c r="J100">
        <f>Informação!K111</f>
        <v>0</v>
      </c>
      <c r="K100">
        <f>Informação!J111</f>
        <v>0</v>
      </c>
      <c r="L100">
        <f>Informação!N111</f>
        <v>0</v>
      </c>
      <c r="M100" t="str">
        <f t="shared" si="2"/>
        <v>0-0</v>
      </c>
      <c r="N100">
        <f>Informação!O111</f>
        <v>0</v>
      </c>
      <c r="O100">
        <f>Informação!P111</f>
        <v>0</v>
      </c>
      <c r="P100" t="s">
        <v>501</v>
      </c>
      <c r="Q100" t="s">
        <v>501</v>
      </c>
      <c r="R100">
        <f>Informação!$G$5</f>
        <v>0</v>
      </c>
    </row>
    <row r="101" spans="1:18" x14ac:dyDescent="0.25">
      <c r="A101">
        <f>Informação!B112</f>
        <v>-1</v>
      </c>
      <c r="B101" s="29" t="str">
        <f>CONCATENATE(TEXT(YEAR(Informação!G112),"0000"),"-",TEXT(MONTH(Informação!G112),"00"),"-",TEXT(DAY(Informação!G112),"00"))</f>
        <v>1900-01-00</v>
      </c>
      <c r="C101">
        <f>Informação!D112</f>
        <v>0</v>
      </c>
      <c r="D101">
        <f>Informação!E112</f>
        <v>0</v>
      </c>
      <c r="E101" t="e">
        <f>Informação!Q112</f>
        <v>#N/A</v>
      </c>
      <c r="F101" s="26">
        <f>Informação!I112</f>
        <v>0</v>
      </c>
      <c r="G101">
        <f>Informação!F112</f>
        <v>0</v>
      </c>
      <c r="H101">
        <f>Informação!M112</f>
        <v>0</v>
      </c>
      <c r="I101">
        <f>Informação!L112</f>
        <v>0</v>
      </c>
      <c r="J101">
        <f>Informação!K112</f>
        <v>0</v>
      </c>
      <c r="K101">
        <f>Informação!J112</f>
        <v>0</v>
      </c>
      <c r="L101">
        <f>Informação!N112</f>
        <v>0</v>
      </c>
      <c r="M101" t="str">
        <f t="shared" si="2"/>
        <v>0-0</v>
      </c>
      <c r="N101">
        <f>Informação!O112</f>
        <v>0</v>
      </c>
      <c r="O101">
        <f>Informação!P112</f>
        <v>0</v>
      </c>
      <c r="P101" t="s">
        <v>501</v>
      </c>
      <c r="Q101" t="s">
        <v>501</v>
      </c>
      <c r="R101">
        <f>Informação!$G$5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Informação</vt:lpstr>
      <vt:lpstr>Validacion</vt:lpstr>
      <vt:lpstr>data</vt:lpstr>
      <vt:lpstr>INTERNACIONAL</vt:lpstr>
      <vt:lpstr>NACIONAL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 Villafañe</dc:creator>
  <cp:lastModifiedBy>Marina</cp:lastModifiedBy>
  <dcterms:created xsi:type="dcterms:W3CDTF">2017-07-11T12:19:51Z</dcterms:created>
  <dcterms:modified xsi:type="dcterms:W3CDTF">2023-02-27T14:54:53Z</dcterms:modified>
</cp:coreProperties>
</file>